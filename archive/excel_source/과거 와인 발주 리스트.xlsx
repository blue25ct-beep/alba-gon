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905" sheetId="1" r:id="rId1"/>
    <sheet name="20260715" sheetId="2" r:id="rId2"/>
    <sheet name="20260419" sheetId="3" r:id="rId3"/>
    <sheet name="20260225" sheetId="4" r:id="rId4"/>
    <sheet name="20251217" sheetId="5" r:id="rId5"/>
    <sheet name="202304" sheetId="6" r:id="rId6"/>
    <sheet name="202304_우린" sheetId="7" r:id="rId7"/>
    <sheet name="202304_부성" sheetId="8" r:id="rId8"/>
    <sheet name="202305_부성" sheetId="9" r:id="rId9"/>
    <sheet name="20230603_부성" sheetId="10" r:id="rId10"/>
  </sheets>
  <definedNames>
    <definedName name="_xlnm._FilterDatabase" localSheetId="1">'20260715'!$B$2:$N$58</definedName>
    <definedName name="_xlnm._FilterDatabase" localSheetId="2">'20260419'!$B$2:$N$58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#,###"/>
    <numFmt numFmtId="165" formatCode="0.0%"/>
    <numFmt numFmtId="166" formatCode="[$₩-412]#,##0"/>
    <numFmt numFmtId="167" formatCode="#,###.#"/>
    <numFmt numFmtId="168" formatCode="##,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0"/>
  <sheetViews>
    <sheetView workbookViewId="0"/>
  </sheetViews>
  <cols>
    <col min="1" max="1" width="6.83203125" customWidth="1"/>
    <col min="2" max="2" width="38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24.83203125" customWidth="1"/>
    <col min="9" max="9" width="10.83203125" customWidth="1"/>
    <col min="10" max="10" width="14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2.83203125" customWidth="1"/>
    <col min="16" max="16" width="14.83203125" customWidth="1"/>
    <col min="17" max="17" width="35.83203125" customWidth="1"/>
    <col min="18" max="18" width="14.83203125" customWidth="1"/>
    <col min="19" max="19" width="12.83203125" customWidth="1"/>
    <col min="20" max="20" width="16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</cols>
  <sheetData>
    <row r="1">
      <c r="B1" t="str">
        <v>총 발주</v>
      </c>
      <c r="J1" t="str">
        <v>35병</v>
      </c>
      <c r="O1" t="str">
        <v>301,710원</v>
      </c>
    </row>
    <row r="2">
      <c r="A2" t="str">
        <v>순위</v>
      </c>
      <c r="B2" t="str">
        <v>품명</v>
      </c>
      <c r="C2" t="str">
        <v>[3회 전] 260225</v>
      </c>
      <c r="D2" t="str">
        <v>[2회 전] 260419</v>
      </c>
      <c r="E2" t="str">
        <v>[1회 전] 260715 (직전)</v>
      </c>
      <c r="F2" t="str">
        <v>이후판매량 (260715~)</v>
      </c>
      <c r="G2" t="str">
        <v>추정 잔여재고</v>
      </c>
      <c r="H2" t="str">
        <v>재고 상태 진단</v>
      </c>
      <c r="I2" t="str">
        <v>추천 발주</v>
      </c>
      <c r="J2" t="str">
        <v>오늘 발주 (수량)</v>
      </c>
      <c r="K2" t="str">
        <v>선정 업체</v>
      </c>
      <c r="L2" t="str">
        <v>매입단가</v>
      </c>
      <c r="M2" t="str">
        <v>판매가</v>
      </c>
      <c r="N2" t="str">
        <v>수익율</v>
      </c>
      <c r="O2" t="str">
        <v>주문금액</v>
      </c>
      <c r="P2" t="str">
        <v>최근 판매일</v>
      </c>
      <c r="Q2" t="str">
        <v>판매 날짜 상세 (월.일/개수)</v>
      </c>
      <c r="R2" t="str">
        <v>[4회 전] 251217</v>
      </c>
      <c r="S2" t="str">
        <v>과거총주문합</v>
      </c>
      <c r="T2" t="str">
        <v>바코드</v>
      </c>
      <c r="U2" t="str">
        <v>부성단가</v>
      </c>
      <c r="V2" t="str">
        <v>세븐단가</v>
      </c>
      <c r="W2" t="str">
        <v>생필단가</v>
      </c>
      <c r="X2" t="str">
        <v>최소발주수량</v>
      </c>
    </row>
    <row r="3">
      <c r="A3">
        <v>1</v>
      </c>
      <c r="B3" t="str">
        <v>보해복분자 375ml</v>
      </c>
      <c r="C3">
        <v>8</v>
      </c>
      <c r="D3">
        <v>12</v>
      </c>
      <c r="E3" t="str">
        <v>-</v>
      </c>
      <c r="F3">
        <v>6</v>
      </c>
      <c r="G3">
        <v>0</v>
      </c>
      <c r="H3" t="str">
        <v>🚨 직전미발주 &amp; 판매소진</v>
      </c>
      <c r="I3">
        <v>6</v>
      </c>
      <c r="J3">
        <v>6</v>
      </c>
      <c r="K3" t="str">
        <v>세븐</v>
      </c>
      <c r="L3">
        <v>5597</v>
      </c>
      <c r="M3">
        <v>10200</v>
      </c>
      <c r="N3">
        <v>0.4513</v>
      </c>
      <c r="O3">
        <v>33582</v>
      </c>
      <c r="P3" t="str">
        <v>2026.08.16</v>
      </c>
      <c r="Q3" t="str">
        <v>07.23(1개), 07.25(1개), 07.29(1개), 07.30(1개), 08.01(1개), 08.16(1개)</v>
      </c>
      <c r="R3">
        <v>3</v>
      </c>
      <c r="S3">
        <v>23</v>
      </c>
      <c r="T3" t="str">
        <v>8801147121847</v>
      </c>
      <c r="U3">
        <v>6156</v>
      </c>
      <c r="V3">
        <v>5597</v>
      </c>
      <c r="W3">
        <v>7082.8</v>
      </c>
      <c r="X3" t="str">
        <v>생필 12개</v>
      </c>
    </row>
    <row r="4">
      <c r="A4">
        <v>2</v>
      </c>
      <c r="B4" t="str">
        <v>타임]와인글라스 카버네 187ml</v>
      </c>
      <c r="C4">
        <v>6</v>
      </c>
      <c r="D4">
        <v>4</v>
      </c>
      <c r="E4">
        <v>6</v>
      </c>
      <c r="F4">
        <v>3</v>
      </c>
      <c r="G4">
        <v>3</v>
      </c>
      <c r="H4" t="str">
        <v>🟢 3병 잔여 (여유)</v>
      </c>
      <c r="I4">
        <v>3</v>
      </c>
      <c r="J4">
        <v>3</v>
      </c>
      <c r="K4" t="str">
        <v>세븐</v>
      </c>
      <c r="L4">
        <v>2800</v>
      </c>
      <c r="M4">
        <v>6200</v>
      </c>
      <c r="N4">
        <v>0.5484</v>
      </c>
      <c r="O4">
        <v>8400</v>
      </c>
      <c r="P4" t="str">
        <v>2026.08.01</v>
      </c>
      <c r="Q4" t="str">
        <v>07.25(1개), 07.26(1개), 08.01(1개)</v>
      </c>
      <c r="R4" t="str">
        <v>-</v>
      </c>
      <c r="S4">
        <v>16</v>
      </c>
      <c r="T4" t="str">
        <v>9348423000261</v>
      </c>
      <c r="V4">
        <v>2800</v>
      </c>
    </row>
    <row r="5">
      <c r="A5">
        <v>3</v>
      </c>
      <c r="B5" t="str">
        <v>타임]와인글라스 모스카토 187ml</v>
      </c>
      <c r="C5">
        <v>6</v>
      </c>
      <c r="D5">
        <v>4</v>
      </c>
      <c r="E5">
        <v>6</v>
      </c>
      <c r="F5">
        <v>3</v>
      </c>
      <c r="G5">
        <v>3</v>
      </c>
      <c r="H5" t="str">
        <v>🟢 3병 잔여 (여유)</v>
      </c>
      <c r="I5">
        <v>3</v>
      </c>
      <c r="J5">
        <v>3</v>
      </c>
      <c r="K5" t="str">
        <v>세븐</v>
      </c>
      <c r="L5">
        <v>2800</v>
      </c>
      <c r="M5">
        <v>6200</v>
      </c>
      <c r="N5">
        <v>0.5484</v>
      </c>
      <c r="O5">
        <v>8400</v>
      </c>
      <c r="P5" t="str">
        <v>2026.08.01</v>
      </c>
      <c r="Q5" t="str">
        <v>07.25(1개), 07.26(1개), 08.01(1개)</v>
      </c>
      <c r="R5" t="str">
        <v>-</v>
      </c>
      <c r="S5">
        <v>16</v>
      </c>
      <c r="T5" t="str">
        <v>9348423000261</v>
      </c>
      <c r="V5">
        <v>2800</v>
      </c>
    </row>
    <row r="6">
      <c r="A6">
        <v>4</v>
      </c>
      <c r="B6" t="str">
        <v>옐로우테일 쉬라즈 187ML</v>
      </c>
      <c r="C6">
        <v>2</v>
      </c>
      <c r="D6" t="str">
        <v>-</v>
      </c>
      <c r="E6">
        <v>5</v>
      </c>
      <c r="F6">
        <v>3</v>
      </c>
      <c r="G6">
        <v>2</v>
      </c>
      <c r="H6" t="str">
        <v>🟢 2병 잔여 (여유)</v>
      </c>
      <c r="I6">
        <v>3</v>
      </c>
      <c r="J6">
        <v>3</v>
      </c>
      <c r="K6" t="str">
        <v>세븐</v>
      </c>
      <c r="L6">
        <v>2800</v>
      </c>
      <c r="M6">
        <v>6000</v>
      </c>
      <c r="N6">
        <v>0.5333</v>
      </c>
      <c r="O6">
        <v>8400</v>
      </c>
      <c r="P6" t="str">
        <v>2026.08.10</v>
      </c>
      <c r="Q6" t="str">
        <v>07.24(1개), 07.29(1개), 08.10(1개)</v>
      </c>
      <c r="R6">
        <v>5</v>
      </c>
      <c r="S6">
        <v>12</v>
      </c>
      <c r="T6" t="str">
        <v>8802340165751</v>
      </c>
      <c r="U6">
        <v>3190</v>
      </c>
      <c r="V6">
        <v>2800</v>
      </c>
    </row>
    <row r="7">
      <c r="A7">
        <v>5</v>
      </c>
      <c r="B7" t="str">
        <v>조니워커 블랙 라벨 200ml</v>
      </c>
      <c r="C7">
        <v>5</v>
      </c>
      <c r="D7" t="str">
        <v>-</v>
      </c>
      <c r="E7">
        <v>4</v>
      </c>
      <c r="F7">
        <v>2</v>
      </c>
      <c r="G7">
        <v>2</v>
      </c>
      <c r="H7" t="str">
        <v>🟢 2병 잔여 (여유)</v>
      </c>
      <c r="I7">
        <v>2</v>
      </c>
      <c r="J7">
        <v>2</v>
      </c>
      <c r="K7" t="str">
        <v>세븐</v>
      </c>
      <c r="L7">
        <v>12420</v>
      </c>
      <c r="M7">
        <v>19900</v>
      </c>
      <c r="N7">
        <v>0.3759</v>
      </c>
      <c r="O7">
        <v>24840</v>
      </c>
      <c r="P7" t="str">
        <v>2026.08.31</v>
      </c>
      <c r="Q7" t="str">
        <v>08.31(2개)</v>
      </c>
      <c r="R7">
        <v>3</v>
      </c>
      <c r="S7">
        <v>12</v>
      </c>
      <c r="T7" t="str">
        <v>5000267025209</v>
      </c>
      <c r="U7">
        <v>13662</v>
      </c>
      <c r="V7">
        <v>12420</v>
      </c>
      <c r="W7">
        <v>999999</v>
      </c>
    </row>
    <row r="8">
      <c r="A8">
        <v>6</v>
      </c>
      <c r="B8" t="str">
        <v>로쉐마제 쌩쏘 그르나슈 250ml</v>
      </c>
      <c r="C8">
        <v>3</v>
      </c>
      <c r="D8">
        <v>1</v>
      </c>
      <c r="E8">
        <v>3</v>
      </c>
      <c r="F8">
        <v>2</v>
      </c>
      <c r="G8">
        <v>1</v>
      </c>
      <c r="H8" t="str">
        <v>⚠️ 1병 잔여 (품절 임박)</v>
      </c>
      <c r="I8">
        <v>2</v>
      </c>
      <c r="J8">
        <v>2</v>
      </c>
      <c r="K8" t="str">
        <v>세븐</v>
      </c>
      <c r="L8">
        <v>3182</v>
      </c>
      <c r="M8">
        <v>8000</v>
      </c>
      <c r="N8">
        <v>0.6022</v>
      </c>
      <c r="O8">
        <v>6364</v>
      </c>
      <c r="P8" t="str">
        <v>2026.08.05</v>
      </c>
      <c r="Q8" t="str">
        <v>08.04(1개), 08.05(1개)</v>
      </c>
      <c r="R8">
        <v>2</v>
      </c>
      <c r="S8">
        <v>9</v>
      </c>
      <c r="T8" t="str">
        <v>3175529650962</v>
      </c>
      <c r="U8">
        <v>5610</v>
      </c>
      <c r="V8">
        <v>3182</v>
      </c>
      <c r="W8">
        <v>999999</v>
      </c>
    </row>
    <row r="9">
      <c r="A9">
        <v>7</v>
      </c>
      <c r="B9" t="str">
        <v>잭다니엘 블랙 200ml</v>
      </c>
      <c r="C9">
        <v>5</v>
      </c>
      <c r="D9">
        <v>3</v>
      </c>
      <c r="E9">
        <v>2</v>
      </c>
      <c r="F9">
        <v>2</v>
      </c>
      <c r="G9">
        <v>0</v>
      </c>
      <c r="H9" t="str">
        <v>🚨 품절 소진 (재고 없음)</v>
      </c>
      <c r="I9">
        <v>2</v>
      </c>
      <c r="J9">
        <v>2</v>
      </c>
      <c r="K9" t="str">
        <v>세븐</v>
      </c>
      <c r="L9">
        <v>9800</v>
      </c>
      <c r="M9">
        <v>17900</v>
      </c>
      <c r="N9">
        <v>0.4525</v>
      </c>
      <c r="O9">
        <v>19600</v>
      </c>
      <c r="P9" t="str">
        <v>2026.09.04</v>
      </c>
      <c r="Q9" t="str">
        <v>07.19(1개), 09.04(1개)</v>
      </c>
      <c r="R9">
        <v>3</v>
      </c>
      <c r="S9">
        <v>13</v>
      </c>
      <c r="T9" t="str">
        <v>5099873046173</v>
      </c>
      <c r="U9">
        <v>13750</v>
      </c>
      <c r="V9">
        <v>9800</v>
      </c>
      <c r="W9">
        <v>999999</v>
      </c>
    </row>
    <row r="10">
      <c r="A10">
        <v>8</v>
      </c>
      <c r="B10" t="str">
        <v>G7 샤르도네 750ml</v>
      </c>
      <c r="C10" t="str">
        <v>-</v>
      </c>
      <c r="D10" t="str">
        <v>-</v>
      </c>
      <c r="E10">
        <v>2</v>
      </c>
      <c r="F10">
        <v>2</v>
      </c>
      <c r="G10">
        <v>0</v>
      </c>
      <c r="H10" t="str">
        <v>🚨 품절 소진 (재고 없음)</v>
      </c>
      <c r="I10">
        <v>2</v>
      </c>
      <c r="J10">
        <v>2</v>
      </c>
      <c r="K10" t="str">
        <v>부성</v>
      </c>
      <c r="L10">
        <v>7018</v>
      </c>
      <c r="M10">
        <v>18000</v>
      </c>
      <c r="N10">
        <v>0.6101</v>
      </c>
      <c r="O10">
        <v>14036</v>
      </c>
      <c r="P10" t="str">
        <v>2026.08.08</v>
      </c>
      <c r="Q10" t="str">
        <v>08.06(1개), 08.08(1개)</v>
      </c>
      <c r="R10" t="str">
        <v>-</v>
      </c>
      <c r="S10">
        <v>2</v>
      </c>
      <c r="T10" t="str">
        <v>8809267520809</v>
      </c>
    </row>
    <row r="11">
      <c r="A11">
        <v>9</v>
      </c>
      <c r="B11" t="str">
        <v>말리부 700ml</v>
      </c>
      <c r="C11">
        <v>2</v>
      </c>
      <c r="D11">
        <v>6</v>
      </c>
      <c r="E11" t="str">
        <v>-</v>
      </c>
      <c r="F11">
        <v>2</v>
      </c>
      <c r="G11">
        <v>0</v>
      </c>
      <c r="H11" t="str">
        <v>🚨 직전미발주 &amp; 판매소진</v>
      </c>
      <c r="I11">
        <v>2</v>
      </c>
      <c r="J11">
        <v>2</v>
      </c>
      <c r="K11" t="str">
        <v>부성</v>
      </c>
      <c r="L11">
        <v>23909</v>
      </c>
      <c r="M11">
        <v>38000</v>
      </c>
      <c r="N11">
        <v>0.3708</v>
      </c>
      <c r="O11">
        <v>47818</v>
      </c>
      <c r="P11" t="str">
        <v>2026.08.29</v>
      </c>
      <c r="Q11" t="str">
        <v>08.16(1개), 08.29(1개)</v>
      </c>
      <c r="R11">
        <v>1</v>
      </c>
      <c r="S11">
        <v>9</v>
      </c>
      <c r="T11" t="str">
        <v>8410024710960</v>
      </c>
      <c r="U11">
        <v>23909</v>
      </c>
      <c r="V11">
        <v>999999</v>
      </c>
      <c r="W11">
        <v>23917.66667</v>
      </c>
      <c r="X11" t="str">
        <v>생필 6개</v>
      </c>
    </row>
    <row r="12">
      <c r="A12">
        <v>10</v>
      </c>
      <c r="B12" t="str">
        <v>옐로우테일 까소 187ML</v>
      </c>
      <c r="C12">
        <v>2</v>
      </c>
      <c r="D12">
        <v>4</v>
      </c>
      <c r="E12">
        <v>5</v>
      </c>
      <c r="F12">
        <v>1</v>
      </c>
      <c r="G12">
        <v>4</v>
      </c>
      <c r="H12" t="str">
        <v>🟢 4병 잔여 (여유)</v>
      </c>
      <c r="I12">
        <v>1</v>
      </c>
      <c r="J12">
        <v>1</v>
      </c>
      <c r="K12" t="str">
        <v>세븐</v>
      </c>
      <c r="L12">
        <v>2800</v>
      </c>
      <c r="M12">
        <v>6000</v>
      </c>
      <c r="N12">
        <v>0.5333</v>
      </c>
      <c r="O12">
        <v>2800</v>
      </c>
      <c r="P12" t="str">
        <v>2026.07.25</v>
      </c>
      <c r="Q12" t="str">
        <v>07.25(1개)</v>
      </c>
      <c r="R12">
        <v>5</v>
      </c>
      <c r="S12">
        <v>16</v>
      </c>
      <c r="T12" t="str">
        <v>8802340245613</v>
      </c>
      <c r="U12">
        <v>3190</v>
      </c>
      <c r="V12">
        <v>2800</v>
      </c>
    </row>
    <row r="13">
      <c r="A13">
        <v>11</v>
      </c>
      <c r="B13" t="str">
        <v>잭다니엘스 허니 200ml</v>
      </c>
      <c r="C13">
        <v>4</v>
      </c>
      <c r="D13">
        <v>2</v>
      </c>
      <c r="E13">
        <v>2</v>
      </c>
      <c r="F13">
        <v>1</v>
      </c>
      <c r="G13">
        <v>1</v>
      </c>
      <c r="H13" t="str">
        <v>⚠️ 1병 잔여 (품절 임박)</v>
      </c>
      <c r="I13">
        <v>1</v>
      </c>
      <c r="J13">
        <v>1</v>
      </c>
      <c r="K13" t="str">
        <v>세븐</v>
      </c>
      <c r="L13">
        <v>9800</v>
      </c>
      <c r="M13">
        <v>17900</v>
      </c>
      <c r="N13">
        <v>0.4525</v>
      </c>
      <c r="O13">
        <v>9800</v>
      </c>
      <c r="P13" t="str">
        <v>2026.07.17</v>
      </c>
      <c r="Q13" t="str">
        <v>07.17(1개)</v>
      </c>
      <c r="R13">
        <v>2</v>
      </c>
      <c r="S13">
        <v>10</v>
      </c>
      <c r="T13" t="str">
        <v>5099873060711</v>
      </c>
      <c r="U13">
        <v>13750</v>
      </c>
      <c r="V13">
        <v>9800</v>
      </c>
      <c r="W13">
        <v>999999</v>
      </c>
    </row>
    <row r="14">
      <c r="A14">
        <v>12</v>
      </c>
      <c r="B14" t="str">
        <v>BS)빌라욜란다 모스카토 로제 750ml</v>
      </c>
      <c r="C14">
        <v>1</v>
      </c>
      <c r="D14" t="str">
        <v>-</v>
      </c>
      <c r="E14">
        <v>1</v>
      </c>
      <c r="F14">
        <v>1</v>
      </c>
      <c r="G14">
        <v>0</v>
      </c>
      <c r="H14" t="str">
        <v>🚨 품절 소진 (재고 없음)</v>
      </c>
      <c r="I14">
        <v>1</v>
      </c>
      <c r="J14">
        <v>1</v>
      </c>
      <c r="K14" t="str">
        <v>부성</v>
      </c>
      <c r="L14">
        <v>18513</v>
      </c>
      <c r="M14">
        <v>29000</v>
      </c>
      <c r="N14">
        <v>0.3616</v>
      </c>
      <c r="O14">
        <v>18513</v>
      </c>
      <c r="P14" t="str">
        <v>2026.08.04</v>
      </c>
      <c r="Q14" t="str">
        <v>08.04(1개)</v>
      </c>
      <c r="R14" t="str">
        <v>-</v>
      </c>
      <c r="S14">
        <v>2</v>
      </c>
      <c r="T14" t="str">
        <v>8004385028620</v>
      </c>
      <c r="U14">
        <v>18513</v>
      </c>
      <c r="V14">
        <v>999999</v>
      </c>
    </row>
    <row r="15">
      <c r="A15">
        <v>13</v>
      </c>
      <c r="B15" t="str">
        <v>경주법주원컵 200ml</v>
      </c>
      <c r="C15" t="str">
        <v>-</v>
      </c>
      <c r="D15">
        <v>20</v>
      </c>
      <c r="E15" t="str">
        <v>-</v>
      </c>
      <c r="F15">
        <v>1</v>
      </c>
      <c r="G15">
        <v>0</v>
      </c>
      <c r="H15" t="str">
        <v>🚨 직전미발주 &amp; 판매소진</v>
      </c>
      <c r="I15">
        <v>1</v>
      </c>
      <c r="J15">
        <v>1</v>
      </c>
      <c r="K15" t="str">
        <v>생필체인</v>
      </c>
      <c r="L15">
        <v>1536.45</v>
      </c>
      <c r="M15">
        <v>4000</v>
      </c>
      <c r="N15">
        <v>0.6159</v>
      </c>
      <c r="O15">
        <v>1536</v>
      </c>
      <c r="P15" t="str">
        <v>2026.07.14</v>
      </c>
      <c r="Q15" t="str">
        <v>07.14(1개)</v>
      </c>
      <c r="R15" t="str">
        <v>-</v>
      </c>
      <c r="S15">
        <v>20</v>
      </c>
      <c r="T15" t="str">
        <v>8801079411108</v>
      </c>
      <c r="W15">
        <v>1536.45</v>
      </c>
      <c r="X15" t="str">
        <v>생필 20개</v>
      </c>
    </row>
    <row r="16">
      <c r="A16">
        <v>14</v>
      </c>
      <c r="B16" t="str">
        <v>디아블로 소비뇽블랑 750ml</v>
      </c>
      <c r="C16" t="str">
        <v>-</v>
      </c>
      <c r="D16">
        <v>12</v>
      </c>
      <c r="E16" t="str">
        <v>-</v>
      </c>
      <c r="F16">
        <v>1</v>
      </c>
      <c r="G16">
        <v>0</v>
      </c>
      <c r="H16" t="str">
        <v>🚨 직전미발주 &amp; 판매소진</v>
      </c>
      <c r="I16">
        <v>1</v>
      </c>
      <c r="J16">
        <v>1</v>
      </c>
      <c r="K16" t="str">
        <v>생필체인</v>
      </c>
      <c r="L16">
        <v>10641.95</v>
      </c>
      <c r="M16">
        <v>22000</v>
      </c>
      <c r="N16">
        <v>0.5163</v>
      </c>
      <c r="O16">
        <v>10642</v>
      </c>
      <c r="P16" t="str">
        <v>2026.08.23</v>
      </c>
      <c r="Q16" t="str">
        <v>08.23(1개)</v>
      </c>
      <c r="R16" t="str">
        <v>-</v>
      </c>
      <c r="S16">
        <v>12</v>
      </c>
      <c r="T16" t="str">
        <v/>
      </c>
      <c r="W16">
        <v>10641.95</v>
      </c>
      <c r="X16" t="str">
        <v>생필 12개</v>
      </c>
    </row>
    <row r="17">
      <c r="A17">
        <v>15</v>
      </c>
      <c r="B17" t="str">
        <v>원소주] 클래식 375ml</v>
      </c>
      <c r="C17">
        <v>1</v>
      </c>
      <c r="D17">
        <v>6</v>
      </c>
      <c r="E17" t="str">
        <v>-</v>
      </c>
      <c r="F17">
        <v>1</v>
      </c>
      <c r="G17">
        <v>0</v>
      </c>
      <c r="H17" t="str">
        <v>🚨 직전미발주 &amp; 판매소진</v>
      </c>
      <c r="I17">
        <v>1</v>
      </c>
      <c r="J17">
        <v>1</v>
      </c>
      <c r="K17" t="str">
        <v>생필체인</v>
      </c>
      <c r="L17">
        <v>16700.01667</v>
      </c>
      <c r="M17">
        <v>26000</v>
      </c>
      <c r="N17">
        <v>0.3577</v>
      </c>
      <c r="O17">
        <v>16700</v>
      </c>
      <c r="P17" t="str">
        <v>2026.09.05</v>
      </c>
      <c r="Q17" t="str">
        <v>09.05(1개)</v>
      </c>
      <c r="R17">
        <v>1</v>
      </c>
      <c r="S17">
        <v>8</v>
      </c>
      <c r="T17" t="str">
        <v>8809861950101</v>
      </c>
      <c r="W17">
        <v>16700.01667</v>
      </c>
      <c r="X17" t="str">
        <v>생필 6개</v>
      </c>
    </row>
    <row r="18">
      <c r="A18">
        <v>16</v>
      </c>
      <c r="B18" t="str">
        <v>발렌타인10년 200ml</v>
      </c>
      <c r="C18">
        <v>2</v>
      </c>
      <c r="D18">
        <v>2</v>
      </c>
      <c r="E18" t="str">
        <v>-</v>
      </c>
      <c r="F18">
        <v>1</v>
      </c>
      <c r="G18">
        <v>0</v>
      </c>
      <c r="H18" t="str">
        <v>🚨 직전미발주 &amp; 판매소진</v>
      </c>
      <c r="I18">
        <v>1</v>
      </c>
      <c r="J18">
        <v>1</v>
      </c>
      <c r="K18" t="str">
        <v>세븐</v>
      </c>
      <c r="L18">
        <v>9900</v>
      </c>
      <c r="M18">
        <v>16900</v>
      </c>
      <c r="N18">
        <v>0.4142</v>
      </c>
      <c r="O18">
        <v>9900</v>
      </c>
      <c r="P18" t="str">
        <v>2026.07.25</v>
      </c>
      <c r="Q18" t="str">
        <v>07.25(1개)</v>
      </c>
      <c r="R18">
        <v>3</v>
      </c>
      <c r="S18">
        <v>7</v>
      </c>
      <c r="T18" t="str">
        <v>5000299628652</v>
      </c>
      <c r="U18">
        <v>21769</v>
      </c>
      <c r="V18">
        <v>9900</v>
      </c>
      <c r="W18">
        <v>999999</v>
      </c>
    </row>
    <row r="19">
      <c r="A19">
        <v>17</v>
      </c>
      <c r="B19" t="str">
        <v>BS)디아블로 데블스 콜렉션 750ml</v>
      </c>
      <c r="C19">
        <v>2</v>
      </c>
      <c r="D19">
        <v>3</v>
      </c>
      <c r="E19" t="str">
        <v>-</v>
      </c>
      <c r="F19">
        <v>1</v>
      </c>
      <c r="G19">
        <v>0</v>
      </c>
      <c r="H19" t="str">
        <v>🚨 직전미발주 &amp; 판매소진</v>
      </c>
      <c r="I19">
        <v>1</v>
      </c>
      <c r="J19">
        <v>1</v>
      </c>
      <c r="K19" t="str">
        <v>부성</v>
      </c>
      <c r="L19">
        <v>17666</v>
      </c>
      <c r="M19">
        <v>29000</v>
      </c>
      <c r="N19">
        <v>0.3908</v>
      </c>
      <c r="O19">
        <v>17666</v>
      </c>
      <c r="P19" t="str">
        <v>2026.08.08</v>
      </c>
      <c r="Q19" t="str">
        <v>08.08(1개)</v>
      </c>
      <c r="R19" t="str">
        <v>-</v>
      </c>
      <c r="S19">
        <v>5</v>
      </c>
      <c r="T19" t="str">
        <v>7804320561431</v>
      </c>
      <c r="U19">
        <v>17666</v>
      </c>
    </row>
    <row r="20">
      <c r="A20">
        <v>18</v>
      </c>
      <c r="B20" t="str">
        <v>BS) 킴 크로포드 말보로 쇼비뇽 블랑 750ml</v>
      </c>
      <c r="C20">
        <v>1</v>
      </c>
      <c r="D20">
        <v>4</v>
      </c>
      <c r="E20" t="str">
        <v>-</v>
      </c>
      <c r="F20">
        <v>1</v>
      </c>
      <c r="G20">
        <v>0</v>
      </c>
      <c r="H20" t="str">
        <v>🚨 직전미발주 &amp; 판매소진</v>
      </c>
      <c r="I20">
        <v>1</v>
      </c>
      <c r="J20">
        <v>1</v>
      </c>
      <c r="K20" t="str">
        <v>부성</v>
      </c>
      <c r="L20">
        <v>27588</v>
      </c>
      <c r="M20">
        <v>43000</v>
      </c>
      <c r="N20">
        <v>0.3584</v>
      </c>
      <c r="O20">
        <v>27588</v>
      </c>
      <c r="P20" t="str">
        <v>2026.08.13</v>
      </c>
      <c r="Q20" t="str">
        <v>08.13(1개)</v>
      </c>
      <c r="R20" t="str">
        <v>-</v>
      </c>
      <c r="S20">
        <v>5</v>
      </c>
      <c r="T20" t="str">
        <v>689352009925</v>
      </c>
      <c r="U20">
        <v>27588</v>
      </c>
      <c r="V20">
        <v>999999</v>
      </c>
    </row>
    <row r="21">
      <c r="A21">
        <v>19</v>
      </c>
      <c r="B21" t="str">
        <v>BS) 킴 크로포드 말보로 쇼비뇽 블랑 375ml</v>
      </c>
      <c r="C21" t="str">
        <v>-</v>
      </c>
      <c r="D21">
        <v>3</v>
      </c>
      <c r="E21" t="str">
        <v>-</v>
      </c>
      <c r="F21">
        <v>1</v>
      </c>
      <c r="G21">
        <v>0</v>
      </c>
      <c r="H21" t="str">
        <v>🚨 직전미발주 &amp; 판매소진</v>
      </c>
      <c r="I21">
        <v>1</v>
      </c>
      <c r="J21">
        <v>1</v>
      </c>
      <c r="K21" t="str">
        <v>부성</v>
      </c>
      <c r="L21">
        <v>15125</v>
      </c>
      <c r="M21">
        <v>29000</v>
      </c>
      <c r="N21">
        <v>0.4784</v>
      </c>
      <c r="O21">
        <v>15125</v>
      </c>
      <c r="P21" t="str">
        <v>2026.08.13</v>
      </c>
      <c r="Q21" t="str">
        <v>08.13(1개)</v>
      </c>
      <c r="R21" t="str">
        <v>-</v>
      </c>
      <c r="S21">
        <v>3</v>
      </c>
      <c r="T21" t="str">
        <v/>
      </c>
      <c r="U21">
        <v>15125</v>
      </c>
      <c r="V21">
        <v>999999</v>
      </c>
    </row>
    <row r="22">
      <c r="A22">
        <v>20</v>
      </c>
      <c r="B22" t="str">
        <v>BS 인디] 로트 캡션 뀌베 브뤼 750ml</v>
      </c>
      <c r="C22">
        <v>1</v>
      </c>
      <c r="D22">
        <v>1</v>
      </c>
      <c r="E22">
        <v>4</v>
      </c>
      <c r="F22" t="str">
        <v>-</v>
      </c>
      <c r="G22">
        <v>4</v>
      </c>
      <c r="H22" t="str">
        <v>🟢 4병 잔여 (여유)</v>
      </c>
      <c r="I22">
        <v>0</v>
      </c>
      <c r="J22">
        <v>0</v>
      </c>
      <c r="K22" t="str">
        <v>부성</v>
      </c>
      <c r="L22">
        <v>9680</v>
      </c>
      <c r="M22">
        <v>19000</v>
      </c>
      <c r="N22">
        <v>0.4905</v>
      </c>
      <c r="O22">
        <v>0</v>
      </c>
      <c r="P22" t="str">
        <v>-</v>
      </c>
      <c r="Q22" t="str">
        <v>-</v>
      </c>
      <c r="R22" t="str">
        <v>-</v>
      </c>
      <c r="S22">
        <v>6</v>
      </c>
      <c r="T22" t="str">
        <v/>
      </c>
      <c r="U22">
        <v>9680</v>
      </c>
      <c r="V22">
        <v>999999</v>
      </c>
    </row>
    <row r="23">
      <c r="A23">
        <v>21</v>
      </c>
      <c r="B23" t="str">
        <v>간바레오또상 300ml</v>
      </c>
      <c r="C23" t="str">
        <v>-</v>
      </c>
      <c r="D23">
        <v>6</v>
      </c>
      <c r="E23">
        <v>3</v>
      </c>
      <c r="F23" t="str">
        <v>-</v>
      </c>
      <c r="G23">
        <v>3</v>
      </c>
      <c r="H23" t="str">
        <v>🟢 3병 잔여 (여유)</v>
      </c>
      <c r="I23">
        <v>0</v>
      </c>
      <c r="J23">
        <v>0</v>
      </c>
      <c r="K23" t="str">
        <v>데이터 없음</v>
      </c>
      <c r="L23">
        <v>7865</v>
      </c>
      <c r="M23">
        <v>15000</v>
      </c>
      <c r="N23">
        <v>0.4757</v>
      </c>
      <c r="O23">
        <v>0</v>
      </c>
      <c r="P23" t="str">
        <v>-</v>
      </c>
      <c r="Q23" t="str">
        <v>-</v>
      </c>
      <c r="R23" t="str">
        <v>-</v>
      </c>
      <c r="S23">
        <v>9</v>
      </c>
      <c r="T23" t="str">
        <v/>
      </c>
    </row>
    <row r="24">
      <c r="A24">
        <v>22</v>
      </c>
      <c r="B24" t="str">
        <v>G7 까베르네 소비뇽 750ml</v>
      </c>
      <c r="C24">
        <v>2</v>
      </c>
      <c r="D24" t="str">
        <v>-</v>
      </c>
      <c r="E24">
        <v>3</v>
      </c>
      <c r="F24" t="str">
        <v>-</v>
      </c>
      <c r="G24">
        <v>3</v>
      </c>
      <c r="H24" t="str">
        <v>🟢 3병 잔여 (여유)</v>
      </c>
      <c r="I24">
        <v>0</v>
      </c>
      <c r="J24">
        <v>0</v>
      </c>
      <c r="K24" t="str">
        <v>세븐</v>
      </c>
      <c r="L24">
        <v>5350</v>
      </c>
      <c r="M24">
        <v>18000</v>
      </c>
      <c r="N24">
        <v>0.7028</v>
      </c>
      <c r="O24">
        <v>0</v>
      </c>
      <c r="P24" t="str">
        <v>-</v>
      </c>
      <c r="Q24" t="str">
        <v>-</v>
      </c>
      <c r="R24">
        <v>1</v>
      </c>
      <c r="S24">
        <v>6</v>
      </c>
      <c r="T24" t="str">
        <v>8809267520793</v>
      </c>
      <c r="U24">
        <v>7260</v>
      </c>
      <c r="V24">
        <v>5350</v>
      </c>
    </row>
    <row r="25">
      <c r="A25">
        <v>23</v>
      </c>
      <c r="B25" t="str">
        <v>옐로우테일 샤도네 750ML</v>
      </c>
      <c r="C25" t="str">
        <v>-</v>
      </c>
      <c r="D25">
        <v>3</v>
      </c>
      <c r="E25">
        <v>3</v>
      </c>
      <c r="F25" t="str">
        <v>-</v>
      </c>
      <c r="G25">
        <v>3</v>
      </c>
      <c r="H25" t="str">
        <v>🟢 3병 잔여 (여유)</v>
      </c>
      <c r="I25">
        <v>0</v>
      </c>
      <c r="J25">
        <v>0</v>
      </c>
      <c r="K25" t="str">
        <v>세븐</v>
      </c>
      <c r="L25">
        <v>9470</v>
      </c>
      <c r="M25">
        <v>23000</v>
      </c>
      <c r="N25">
        <v>0.5883</v>
      </c>
      <c r="O25">
        <v>0</v>
      </c>
      <c r="P25" t="str">
        <v>-</v>
      </c>
      <c r="Q25" t="str">
        <v>-</v>
      </c>
      <c r="R25" t="str">
        <v>-</v>
      </c>
      <c r="S25">
        <v>6</v>
      </c>
      <c r="T25" t="str">
        <v/>
      </c>
      <c r="V25">
        <v>9470</v>
      </c>
      <c r="X25" t="str">
        <v>생필 12개</v>
      </c>
    </row>
    <row r="26">
      <c r="A26">
        <v>24</v>
      </c>
      <c r="B26" t="str">
        <v>화요25 375ml</v>
      </c>
      <c r="C26">
        <v>2</v>
      </c>
      <c r="D26">
        <v>3</v>
      </c>
      <c r="E26">
        <v>2</v>
      </c>
      <c r="F26" t="str">
        <v>-</v>
      </c>
      <c r="G26">
        <v>2</v>
      </c>
      <c r="H26" t="str">
        <v>🟢 2병 잔여 (여유)</v>
      </c>
      <c r="I26">
        <v>0</v>
      </c>
      <c r="J26">
        <v>0</v>
      </c>
      <c r="K26" t="str">
        <v>세븐</v>
      </c>
      <c r="L26">
        <v>8100</v>
      </c>
      <c r="M26">
        <v>18000</v>
      </c>
      <c r="N26">
        <v>0.55</v>
      </c>
      <c r="O26">
        <v>0</v>
      </c>
      <c r="P26" t="str">
        <v>-</v>
      </c>
      <c r="Q26" t="str">
        <v>-</v>
      </c>
      <c r="R26">
        <v>2</v>
      </c>
      <c r="S26">
        <v>9</v>
      </c>
      <c r="T26" t="str">
        <v>8809158902424</v>
      </c>
      <c r="U26">
        <v>8910</v>
      </c>
      <c r="V26">
        <v>8100</v>
      </c>
      <c r="W26">
        <v>9000.016667</v>
      </c>
    </row>
    <row r="27">
      <c r="A27">
        <v>25</v>
      </c>
      <c r="B27" t="str">
        <v>빌라욜란다 모스카토 다스티 750ml</v>
      </c>
      <c r="C27">
        <v>3</v>
      </c>
      <c r="D27" t="str">
        <v>-</v>
      </c>
      <c r="E27">
        <v>2</v>
      </c>
      <c r="F27" t="str">
        <v>-</v>
      </c>
      <c r="G27">
        <v>2</v>
      </c>
      <c r="H27" t="str">
        <v>🟢 2병 잔여 (여유)</v>
      </c>
      <c r="I27">
        <v>0</v>
      </c>
      <c r="J27">
        <v>0</v>
      </c>
      <c r="K27" t="str">
        <v>부성</v>
      </c>
      <c r="L27">
        <v>16830</v>
      </c>
      <c r="M27">
        <v>29000</v>
      </c>
      <c r="N27">
        <v>0.4197</v>
      </c>
      <c r="O27">
        <v>0</v>
      </c>
      <c r="P27" t="str">
        <v>-</v>
      </c>
      <c r="Q27" t="str">
        <v>-</v>
      </c>
      <c r="R27">
        <v>2</v>
      </c>
      <c r="S27">
        <v>7</v>
      </c>
      <c r="T27" t="str">
        <v>8004385034201</v>
      </c>
      <c r="U27">
        <v>16830</v>
      </c>
      <c r="V27">
        <v>999999</v>
      </c>
    </row>
    <row r="28">
      <c r="A28">
        <v>26</v>
      </c>
      <c r="B28" t="str">
        <v>옐로우테일 까베르네 소비뇽 750ML</v>
      </c>
      <c r="C28" t="str">
        <v>-</v>
      </c>
      <c r="D28" t="str">
        <v>-</v>
      </c>
      <c r="E28">
        <v>2</v>
      </c>
      <c r="F28" t="str">
        <v>-</v>
      </c>
      <c r="G28">
        <v>2</v>
      </c>
      <c r="H28" t="str">
        <v>🟢 2병 잔여 (여유)</v>
      </c>
      <c r="I28">
        <v>0</v>
      </c>
      <c r="J28">
        <v>0</v>
      </c>
      <c r="K28" t="str">
        <v>데이터 없음</v>
      </c>
      <c r="L28">
        <v>0</v>
      </c>
      <c r="M28">
        <v>0</v>
      </c>
      <c r="N28" t="str">
        <v>#DIV/0!</v>
      </c>
      <c r="O28">
        <v>0</v>
      </c>
      <c r="P28" t="str">
        <v>-</v>
      </c>
      <c r="Q28" t="str">
        <v>-</v>
      </c>
      <c r="R28" t="str">
        <v>-</v>
      </c>
      <c r="S28">
        <v>2</v>
      </c>
      <c r="T28" t="str">
        <v/>
      </c>
      <c r="X28" t="str">
        <v>생필 12개</v>
      </c>
    </row>
    <row r="29">
      <c r="A29">
        <v>27</v>
      </c>
      <c r="B29" t="str">
        <v>7]디아블로 카베르네 소비뇽 750ml</v>
      </c>
      <c r="C29">
        <v>3</v>
      </c>
      <c r="D29">
        <v>2</v>
      </c>
      <c r="E29">
        <v>1</v>
      </c>
      <c r="F29" t="str">
        <v>-</v>
      </c>
      <c r="G29">
        <v>1</v>
      </c>
      <c r="H29" t="str">
        <v>⚠️ 1병 잔여 (품절 임박)</v>
      </c>
      <c r="I29">
        <v>0</v>
      </c>
      <c r="J29">
        <v>0</v>
      </c>
      <c r="K29" t="str">
        <v>세븐</v>
      </c>
      <c r="L29">
        <v>8534</v>
      </c>
      <c r="M29">
        <v>24000</v>
      </c>
      <c r="N29">
        <v>0.6444</v>
      </c>
      <c r="O29">
        <v>0</v>
      </c>
      <c r="P29" t="str">
        <v>-</v>
      </c>
      <c r="Q29" t="str">
        <v>-</v>
      </c>
      <c r="R29">
        <v>1</v>
      </c>
      <c r="S29">
        <v>7</v>
      </c>
      <c r="T29" t="str">
        <v>8806142702831</v>
      </c>
      <c r="U29">
        <v>11341</v>
      </c>
      <c r="V29">
        <v>8534</v>
      </c>
    </row>
    <row r="30">
      <c r="A30">
        <v>28</v>
      </c>
      <c r="B30" t="str">
        <v>디아블로 로제 750ml</v>
      </c>
      <c r="C30" t="str">
        <v>-</v>
      </c>
      <c r="D30">
        <v>12</v>
      </c>
      <c r="E30" t="str">
        <v>-</v>
      </c>
      <c r="F30" t="str">
        <v>-</v>
      </c>
      <c r="G30">
        <v>0</v>
      </c>
      <c r="H30" t="str">
        <v>⚪ 미판매</v>
      </c>
      <c r="I30">
        <v>0</v>
      </c>
      <c r="J30">
        <v>0</v>
      </c>
      <c r="K30" t="str">
        <v>생필체인</v>
      </c>
      <c r="L30">
        <v>10641.95</v>
      </c>
      <c r="M30">
        <v>0</v>
      </c>
      <c r="N30" t="str">
        <v>#DIV/0!</v>
      </c>
      <c r="O30">
        <v>0</v>
      </c>
      <c r="P30" t="str">
        <v>-</v>
      </c>
      <c r="Q30" t="str">
        <v>-</v>
      </c>
      <c r="R30" t="str">
        <v>-</v>
      </c>
      <c r="S30">
        <v>12</v>
      </c>
      <c r="T30" t="str">
        <v/>
      </c>
      <c r="W30">
        <v>10641.95</v>
      </c>
      <c r="X30" t="str">
        <v>생필 12개</v>
      </c>
    </row>
    <row r="31">
      <c r="A31">
        <v>29</v>
      </c>
      <c r="B31" t="str">
        <v>디아블로 레드블렌드 750ml</v>
      </c>
      <c r="C31" t="str">
        <v>-</v>
      </c>
      <c r="D31">
        <v>12</v>
      </c>
      <c r="E31" t="str">
        <v>-</v>
      </c>
      <c r="F31" t="str">
        <v>-</v>
      </c>
      <c r="G31">
        <v>0</v>
      </c>
      <c r="H31" t="str">
        <v>⚪ 미판매</v>
      </c>
      <c r="I31">
        <v>0</v>
      </c>
      <c r="J31">
        <v>0</v>
      </c>
      <c r="K31" t="str">
        <v>생필체인</v>
      </c>
      <c r="L31">
        <v>10641.95</v>
      </c>
      <c r="M31">
        <v>0</v>
      </c>
      <c r="N31" t="str">
        <v>#DIV/0!</v>
      </c>
      <c r="O31">
        <v>0</v>
      </c>
      <c r="P31" t="str">
        <v>-</v>
      </c>
      <c r="Q31" t="str">
        <v>-</v>
      </c>
      <c r="R31" t="str">
        <v>-</v>
      </c>
      <c r="S31">
        <v>12</v>
      </c>
      <c r="T31" t="str">
        <v/>
      </c>
      <c r="W31">
        <v>10641.95</v>
      </c>
      <c r="X31" t="str">
        <v>생필 12개</v>
      </c>
    </row>
    <row r="32">
      <c r="A32">
        <v>30</v>
      </c>
      <c r="B32" t="str">
        <v>더롱독 로제 187ml</v>
      </c>
      <c r="C32" t="str">
        <v>-</v>
      </c>
      <c r="D32">
        <v>10</v>
      </c>
      <c r="E32" t="str">
        <v>-</v>
      </c>
      <c r="F32" t="str">
        <v>-</v>
      </c>
      <c r="G32">
        <v>0</v>
      </c>
      <c r="H32" t="str">
        <v>⚪ 미판매</v>
      </c>
      <c r="I32">
        <v>0</v>
      </c>
      <c r="J32">
        <v>0</v>
      </c>
      <c r="K32" t="str">
        <v>세븐</v>
      </c>
      <c r="L32">
        <v>999999</v>
      </c>
      <c r="M32">
        <v>7000</v>
      </c>
      <c r="N32">
        <v>-141.857</v>
      </c>
      <c r="O32">
        <v>0</v>
      </c>
      <c r="P32" t="str">
        <v>-</v>
      </c>
      <c r="Q32" t="str">
        <v>-</v>
      </c>
      <c r="R32" t="str">
        <v>-</v>
      </c>
      <c r="S32">
        <v>10</v>
      </c>
      <c r="T32" t="str">
        <v>8809726291950</v>
      </c>
      <c r="V32">
        <v>999999</v>
      </c>
      <c r="W32">
        <v>999999</v>
      </c>
    </row>
    <row r="33">
      <c r="A33">
        <v>31</v>
      </c>
      <c r="B33" t="str">
        <v>화요 19금 375ml</v>
      </c>
      <c r="C33" t="str">
        <v>-</v>
      </c>
      <c r="D33">
        <v>6</v>
      </c>
      <c r="E33" t="str">
        <v>-</v>
      </c>
      <c r="F33" t="str">
        <v>-</v>
      </c>
      <c r="G33">
        <v>0</v>
      </c>
      <c r="H33" t="str">
        <v>⚪ 미판매</v>
      </c>
      <c r="I33">
        <v>0</v>
      </c>
      <c r="J33">
        <v>0</v>
      </c>
      <c r="K33" t="str">
        <v>생필체인</v>
      </c>
      <c r="L33">
        <v>9000</v>
      </c>
      <c r="M33">
        <v>14000</v>
      </c>
      <c r="N33">
        <v>0.3571</v>
      </c>
      <c r="O33">
        <v>0</v>
      </c>
      <c r="P33" t="str">
        <v>-</v>
      </c>
      <c r="Q33" t="str">
        <v>-</v>
      </c>
      <c r="R33" t="str">
        <v>-</v>
      </c>
      <c r="S33">
        <v>6</v>
      </c>
      <c r="T33" t="str">
        <v/>
      </c>
      <c r="W33">
        <v>9000</v>
      </c>
      <c r="X33" t="str">
        <v>생필 6개</v>
      </c>
    </row>
    <row r="34">
      <c r="A34">
        <v>32</v>
      </c>
      <c r="B34" t="str">
        <v>텍스트북 나파 까.쇼 750ml</v>
      </c>
      <c r="C34">
        <v>1</v>
      </c>
      <c r="D34">
        <v>2</v>
      </c>
      <c r="E34" t="str">
        <v>-</v>
      </c>
      <c r="F34" t="str">
        <v>-</v>
      </c>
      <c r="G34">
        <v>0</v>
      </c>
      <c r="H34" t="str">
        <v>⚪ 미판매</v>
      </c>
      <c r="I34">
        <v>0</v>
      </c>
      <c r="J34">
        <v>0</v>
      </c>
      <c r="K34" t="str">
        <v>세븐</v>
      </c>
      <c r="L34">
        <v>41000</v>
      </c>
      <c r="M34">
        <v>78000</v>
      </c>
      <c r="N34">
        <v>0.4744</v>
      </c>
      <c r="O34">
        <v>0</v>
      </c>
      <c r="P34" t="str">
        <v>-</v>
      </c>
      <c r="Q34" t="str">
        <v>-</v>
      </c>
      <c r="R34">
        <v>3</v>
      </c>
      <c r="S34">
        <v>6</v>
      </c>
      <c r="T34" t="str">
        <v>8809380368098</v>
      </c>
      <c r="U34">
        <v>56100</v>
      </c>
      <c r="V34">
        <v>41000</v>
      </c>
      <c r="W34">
        <v>999999</v>
      </c>
    </row>
    <row r="35">
      <c r="A35">
        <v>33</v>
      </c>
      <c r="B35" t="str">
        <v>조니워커 레드 라벨 200ml</v>
      </c>
      <c r="C35">
        <v>4</v>
      </c>
      <c r="D35" t="str">
        <v>-</v>
      </c>
      <c r="E35" t="str">
        <v>-</v>
      </c>
      <c r="F35" t="str">
        <v>-</v>
      </c>
      <c r="G35">
        <v>0</v>
      </c>
      <c r="H35" t="str">
        <v>⚪ 미판매</v>
      </c>
      <c r="I35">
        <v>0</v>
      </c>
      <c r="J35">
        <v>0</v>
      </c>
      <c r="K35" t="str">
        <v>세븐</v>
      </c>
      <c r="L35">
        <v>7740</v>
      </c>
      <c r="M35">
        <v>12900</v>
      </c>
      <c r="N35">
        <v>0.4</v>
      </c>
      <c r="O35">
        <v>0</v>
      </c>
      <c r="P35" t="str">
        <v>-</v>
      </c>
      <c r="Q35" t="str">
        <v>-</v>
      </c>
      <c r="R35">
        <v>2</v>
      </c>
      <c r="S35">
        <v>6</v>
      </c>
      <c r="T35" t="str">
        <v>5000267015200</v>
      </c>
      <c r="U35">
        <v>8514</v>
      </c>
      <c r="V35">
        <v>7740</v>
      </c>
      <c r="W35">
        <v>999999</v>
      </c>
    </row>
    <row r="36">
      <c r="A36">
        <v>34</v>
      </c>
      <c r="B36" t="str">
        <v>빌라엠로제 750ml</v>
      </c>
      <c r="C36" t="str">
        <v>-</v>
      </c>
      <c r="D36">
        <v>6</v>
      </c>
      <c r="E36" t="str">
        <v>-</v>
      </c>
      <c r="F36" t="str">
        <v>-</v>
      </c>
      <c r="G36">
        <v>0</v>
      </c>
      <c r="H36" t="str">
        <v>⚪ 미판매</v>
      </c>
      <c r="I36">
        <v>0</v>
      </c>
      <c r="J36">
        <v>0</v>
      </c>
      <c r="K36" t="str">
        <v>생필체인</v>
      </c>
      <c r="L36">
        <v>6516.583333</v>
      </c>
      <c r="M36">
        <v>45000</v>
      </c>
      <c r="N36">
        <v>0.8552</v>
      </c>
      <c r="O36">
        <v>0</v>
      </c>
      <c r="P36" t="str">
        <v>-</v>
      </c>
      <c r="Q36" t="str">
        <v>-</v>
      </c>
      <c r="R36" t="str">
        <v>-</v>
      </c>
      <c r="S36">
        <v>6</v>
      </c>
      <c r="T36" t="str">
        <v>8806142707508</v>
      </c>
      <c r="W36">
        <v>6516.583333</v>
      </c>
      <c r="X36" t="str">
        <v>생필 6개</v>
      </c>
    </row>
    <row r="37">
      <c r="A37">
        <v>35</v>
      </c>
      <c r="B37" t="str">
        <v>봄베이사파이어 375ml</v>
      </c>
      <c r="C37">
        <v>2</v>
      </c>
      <c r="D37" t="str">
        <v>-</v>
      </c>
      <c r="E37" t="str">
        <v>-</v>
      </c>
      <c r="F37" t="str">
        <v>-</v>
      </c>
      <c r="G37">
        <v>0</v>
      </c>
      <c r="H37" t="str">
        <v>⚪ 미판매</v>
      </c>
      <c r="I37">
        <v>0</v>
      </c>
      <c r="J37">
        <v>0</v>
      </c>
      <c r="K37" t="str">
        <v>세븐</v>
      </c>
      <c r="L37">
        <v>13900</v>
      </c>
      <c r="M37">
        <v>27000</v>
      </c>
      <c r="N37">
        <v>0.4852</v>
      </c>
      <c r="O37">
        <v>0</v>
      </c>
      <c r="P37" t="str">
        <v>-</v>
      </c>
      <c r="Q37" t="str">
        <v>-</v>
      </c>
      <c r="R37">
        <v>2</v>
      </c>
      <c r="S37">
        <v>4</v>
      </c>
      <c r="T37" t="str">
        <v>80480301033</v>
      </c>
      <c r="U37">
        <v>17270</v>
      </c>
      <c r="V37">
        <v>13900</v>
      </c>
      <c r="W37">
        <v>999999</v>
      </c>
    </row>
    <row r="38">
      <c r="A38">
        <v>36</v>
      </c>
      <c r="B38" t="str">
        <v>발비소프라니아스티 750ml</v>
      </c>
      <c r="C38">
        <v>1</v>
      </c>
      <c r="D38">
        <v>3</v>
      </c>
      <c r="E38" t="str">
        <v>-</v>
      </c>
      <c r="F38" t="str">
        <v>-</v>
      </c>
      <c r="G38">
        <v>0</v>
      </c>
      <c r="H38" t="str">
        <v>⚪ 미판매</v>
      </c>
      <c r="I38">
        <v>0</v>
      </c>
      <c r="J38">
        <v>0</v>
      </c>
      <c r="K38" t="str">
        <v>부성</v>
      </c>
      <c r="L38">
        <v>19360</v>
      </c>
      <c r="M38">
        <v>31000</v>
      </c>
      <c r="N38">
        <v>0.3755</v>
      </c>
      <c r="O38">
        <v>0</v>
      </c>
      <c r="P38" t="str">
        <v>-</v>
      </c>
      <c r="Q38" t="str">
        <v>-</v>
      </c>
      <c r="R38" t="str">
        <v>-</v>
      </c>
      <c r="S38">
        <v>4</v>
      </c>
      <c r="T38" t="str">
        <v>8000548005040</v>
      </c>
      <c r="U38">
        <v>19360</v>
      </c>
      <c r="V38">
        <v>999999</v>
      </c>
    </row>
    <row r="39">
      <c r="A39">
        <v>37</v>
      </c>
      <c r="B39" t="str">
        <v>돈나푸가타 앙겔리 750ml</v>
      </c>
      <c r="C39">
        <v>2</v>
      </c>
      <c r="D39">
        <v>1</v>
      </c>
      <c r="E39" t="str">
        <v>-</v>
      </c>
      <c r="F39" t="str">
        <v>-</v>
      </c>
      <c r="G39">
        <v>0</v>
      </c>
      <c r="H39" t="str">
        <v>⚪ 미판매</v>
      </c>
      <c r="I39">
        <v>0</v>
      </c>
      <c r="J39">
        <v>0</v>
      </c>
      <c r="K39" t="str">
        <v>부성</v>
      </c>
      <c r="L39">
        <v>45980</v>
      </c>
      <c r="M39">
        <v>64000</v>
      </c>
      <c r="N39">
        <v>0.2816</v>
      </c>
      <c r="O39">
        <v>0</v>
      </c>
      <c r="P39" t="str">
        <v>-</v>
      </c>
      <c r="Q39" t="str">
        <v>-</v>
      </c>
      <c r="R39">
        <v>1</v>
      </c>
      <c r="S39">
        <v>4</v>
      </c>
      <c r="T39" t="str">
        <v>8809709252206</v>
      </c>
      <c r="U39">
        <v>45980</v>
      </c>
      <c r="V39">
        <v>999999</v>
      </c>
    </row>
    <row r="40">
      <c r="A40">
        <v>38</v>
      </c>
      <c r="B40" t="str">
        <v>옐로우테일 제미레드 750ML</v>
      </c>
      <c r="C40" t="str">
        <v>-</v>
      </c>
      <c r="D40">
        <v>3</v>
      </c>
      <c r="E40" t="str">
        <v>-</v>
      </c>
      <c r="F40" t="str">
        <v>-</v>
      </c>
      <c r="G40">
        <v>0</v>
      </c>
      <c r="H40" t="str">
        <v>⚪ 미판매</v>
      </c>
      <c r="I40">
        <v>0</v>
      </c>
      <c r="J40">
        <v>0</v>
      </c>
      <c r="K40" t="str">
        <v>세븐</v>
      </c>
      <c r="L40">
        <v>9470</v>
      </c>
      <c r="M40">
        <v>23000</v>
      </c>
      <c r="N40">
        <v>0.5883</v>
      </c>
      <c r="O40">
        <v>0</v>
      </c>
      <c r="P40" t="str">
        <v>-</v>
      </c>
      <c r="Q40" t="str">
        <v>-</v>
      </c>
      <c r="R40" t="str">
        <v>-</v>
      </c>
      <c r="S40">
        <v>3</v>
      </c>
      <c r="T40" t="str">
        <v>8802340270141</v>
      </c>
      <c r="V40">
        <v>9470</v>
      </c>
    </row>
    <row r="41">
      <c r="A41">
        <v>39</v>
      </c>
      <c r="B41" t="str">
        <v>옐로우테일 까버네 750ML</v>
      </c>
      <c r="C41" t="str">
        <v>-</v>
      </c>
      <c r="D41">
        <v>3</v>
      </c>
      <c r="E41" t="str">
        <v>-</v>
      </c>
      <c r="F41" t="str">
        <v>-</v>
      </c>
      <c r="G41">
        <v>0</v>
      </c>
      <c r="H41" t="str">
        <v>⚪ 미판매</v>
      </c>
      <c r="I41">
        <v>0</v>
      </c>
      <c r="J41">
        <v>0</v>
      </c>
      <c r="K41" t="str">
        <v>세븐</v>
      </c>
      <c r="L41">
        <v>9470</v>
      </c>
      <c r="M41">
        <v>23000</v>
      </c>
      <c r="N41">
        <v>0.5883</v>
      </c>
      <c r="O41">
        <v>0</v>
      </c>
      <c r="P41" t="str">
        <v>-</v>
      </c>
      <c r="Q41" t="str">
        <v>-</v>
      </c>
      <c r="R41" t="str">
        <v>-</v>
      </c>
      <c r="S41">
        <v>3</v>
      </c>
      <c r="T41" t="str">
        <v/>
      </c>
      <c r="V41">
        <v>9470</v>
      </c>
    </row>
    <row r="42">
      <c r="A42">
        <v>40</v>
      </c>
      <c r="B42" t="str">
        <v>솔라라레드 750ml</v>
      </c>
      <c r="C42">
        <v>1</v>
      </c>
      <c r="D42">
        <v>1</v>
      </c>
      <c r="E42" t="str">
        <v>-</v>
      </c>
      <c r="F42" t="str">
        <v>-</v>
      </c>
      <c r="G42">
        <v>0</v>
      </c>
      <c r="H42" t="str">
        <v>⚪ 미판매</v>
      </c>
      <c r="I42">
        <v>0</v>
      </c>
      <c r="J42">
        <v>0</v>
      </c>
      <c r="K42" t="str">
        <v>부성</v>
      </c>
      <c r="L42">
        <v>20570</v>
      </c>
      <c r="M42">
        <v>34000</v>
      </c>
      <c r="N42">
        <v>0.395</v>
      </c>
      <c r="O42">
        <v>0</v>
      </c>
      <c r="P42" t="str">
        <v>-</v>
      </c>
      <c r="Q42" t="str">
        <v>-</v>
      </c>
      <c r="R42">
        <v>1</v>
      </c>
      <c r="S42">
        <v>3</v>
      </c>
      <c r="T42" t="str">
        <v>5942084507356</v>
      </c>
      <c r="U42">
        <v>20570</v>
      </c>
    </row>
    <row r="43">
      <c r="A43">
        <v>41</v>
      </c>
      <c r="B43" t="str">
        <v>마뱅] 리유니트 피치 모스카토 750ml</v>
      </c>
      <c r="C43">
        <v>1</v>
      </c>
      <c r="D43" t="str">
        <v>-</v>
      </c>
      <c r="E43" t="str">
        <v>-</v>
      </c>
      <c r="F43" t="str">
        <v>-</v>
      </c>
      <c r="G43">
        <v>0</v>
      </c>
      <c r="H43" t="str">
        <v>⚪ 미판매</v>
      </c>
      <c r="I43">
        <v>0</v>
      </c>
      <c r="J43">
        <v>0</v>
      </c>
      <c r="K43" t="str">
        <v>부성</v>
      </c>
      <c r="L43">
        <v>9680</v>
      </c>
      <c r="M43">
        <v>14900</v>
      </c>
      <c r="N43">
        <v>0.3503</v>
      </c>
      <c r="O43">
        <v>0</v>
      </c>
      <c r="P43" t="str">
        <v>-</v>
      </c>
      <c r="Q43" t="str">
        <v>-</v>
      </c>
      <c r="R43">
        <v>2</v>
      </c>
      <c r="S43">
        <v>3</v>
      </c>
      <c r="T43" t="str">
        <v>089744765857</v>
      </c>
      <c r="U43">
        <v>9680</v>
      </c>
      <c r="V43">
        <v>999999</v>
      </c>
    </row>
    <row r="44">
      <c r="A44">
        <v>42</v>
      </c>
      <c r="B44" t="str">
        <v>간바레오또상 900ml</v>
      </c>
      <c r="C44">
        <v>3</v>
      </c>
      <c r="D44" t="str">
        <v>-</v>
      </c>
      <c r="E44" t="str">
        <v>-</v>
      </c>
      <c r="F44" t="str">
        <v>-</v>
      </c>
      <c r="G44">
        <v>0</v>
      </c>
      <c r="H44" t="str">
        <v>⚪ 미판매</v>
      </c>
      <c r="I44">
        <v>0</v>
      </c>
      <c r="J44">
        <v>0</v>
      </c>
      <c r="K44" t="str">
        <v>세븐</v>
      </c>
      <c r="L44">
        <v>12670</v>
      </c>
      <c r="M44">
        <v>25000</v>
      </c>
      <c r="N44">
        <v>0.4932</v>
      </c>
      <c r="O44">
        <v>0</v>
      </c>
      <c r="P44" t="str">
        <v>-</v>
      </c>
      <c r="Q44" t="str">
        <v>-</v>
      </c>
      <c r="R44" t="str">
        <v>-</v>
      </c>
      <c r="S44">
        <v>3</v>
      </c>
      <c r="T44" t="str">
        <v/>
      </c>
      <c r="V44">
        <v>12670</v>
      </c>
      <c r="W44">
        <v>16100</v>
      </c>
    </row>
    <row r="45">
      <c r="A45">
        <v>43</v>
      </c>
      <c r="B45" t="str">
        <v>BS)루이라뚜르 피노누아 레피에르 도레 750m</v>
      </c>
      <c r="C45">
        <v>1</v>
      </c>
      <c r="D45" t="str">
        <v>-</v>
      </c>
      <c r="E45" t="str">
        <v>-</v>
      </c>
      <c r="F45" t="str">
        <v>-</v>
      </c>
      <c r="G45">
        <v>0</v>
      </c>
      <c r="H45" t="str">
        <v>⚪ 미판매</v>
      </c>
      <c r="I45">
        <v>0</v>
      </c>
      <c r="J45">
        <v>0</v>
      </c>
      <c r="K45" t="str">
        <v>부성</v>
      </c>
      <c r="L45">
        <v>40112</v>
      </c>
      <c r="M45">
        <v>62000</v>
      </c>
      <c r="N45">
        <v>0.353</v>
      </c>
      <c r="O45">
        <v>0</v>
      </c>
      <c r="P45" t="str">
        <v>-</v>
      </c>
      <c r="Q45" t="str">
        <v>-</v>
      </c>
      <c r="R45">
        <v>1</v>
      </c>
      <c r="S45">
        <v>2</v>
      </c>
      <c r="T45" t="str">
        <v>3566921002990</v>
      </c>
      <c r="U45">
        <v>40112</v>
      </c>
      <c r="V45">
        <v>999999</v>
      </c>
    </row>
    <row r="46">
      <c r="A46">
        <v>44</v>
      </c>
      <c r="B46" t="str">
        <v>BS 인디] 로트 캡션 로제 샴페인 750ml</v>
      </c>
      <c r="C46">
        <v>1</v>
      </c>
      <c r="D46">
        <v>1</v>
      </c>
      <c r="E46" t="str">
        <v>-</v>
      </c>
      <c r="F46" t="str">
        <v>-</v>
      </c>
      <c r="G46">
        <v>0</v>
      </c>
      <c r="H46" t="str">
        <v>⚪ 미판매</v>
      </c>
      <c r="I46">
        <v>0</v>
      </c>
      <c r="J46">
        <v>0</v>
      </c>
      <c r="K46" t="str">
        <v>부성</v>
      </c>
      <c r="L46">
        <v>9680</v>
      </c>
      <c r="M46">
        <v>19000</v>
      </c>
      <c r="N46">
        <v>0.4905</v>
      </c>
      <c r="O46">
        <v>0</v>
      </c>
      <c r="P46" t="str">
        <v>-</v>
      </c>
      <c r="Q46" t="str">
        <v>-</v>
      </c>
      <c r="R46" t="str">
        <v>-</v>
      </c>
      <c r="S46">
        <v>2</v>
      </c>
      <c r="T46" t="str">
        <v>4058222100400</v>
      </c>
      <c r="U46">
        <v>9680</v>
      </c>
      <c r="V46">
        <v>999999</v>
      </c>
    </row>
    <row r="47">
      <c r="A47">
        <v>45</v>
      </c>
      <c r="B47" t="str">
        <v>화요41 375ml</v>
      </c>
      <c r="C47">
        <v>1</v>
      </c>
      <c r="D47" t="str">
        <v>-</v>
      </c>
      <c r="E47" t="str">
        <v>-</v>
      </c>
      <c r="F47" t="str">
        <v>-</v>
      </c>
      <c r="G47">
        <v>0</v>
      </c>
      <c r="H47" t="str">
        <v>⚪ 미판매</v>
      </c>
      <c r="I47">
        <v>0</v>
      </c>
      <c r="J47">
        <v>0</v>
      </c>
      <c r="K47" t="str">
        <v>부성</v>
      </c>
      <c r="L47">
        <v>17600</v>
      </c>
      <c r="M47">
        <v>31000</v>
      </c>
      <c r="N47">
        <v>0.4323</v>
      </c>
      <c r="O47">
        <v>0</v>
      </c>
      <c r="P47" t="str">
        <v>-</v>
      </c>
      <c r="Q47" t="str">
        <v>-</v>
      </c>
      <c r="R47">
        <v>1</v>
      </c>
      <c r="S47">
        <v>2</v>
      </c>
      <c r="T47" t="str">
        <v>8809158901526</v>
      </c>
      <c r="U47">
        <v>17600</v>
      </c>
    </row>
    <row r="48">
      <c r="A48">
        <v>46</v>
      </c>
      <c r="B48" t="str">
        <v>조니워커 레드라벨 500ml</v>
      </c>
      <c r="C48">
        <v>1</v>
      </c>
      <c r="D48" t="str">
        <v>-</v>
      </c>
      <c r="E48" t="str">
        <v>-</v>
      </c>
      <c r="F48" t="str">
        <v>-</v>
      </c>
      <c r="G48">
        <v>0</v>
      </c>
      <c r="H48" t="str">
        <v>⚪ 미판매</v>
      </c>
      <c r="I48">
        <v>0</v>
      </c>
      <c r="J48">
        <v>0</v>
      </c>
      <c r="K48" t="str">
        <v>세븐</v>
      </c>
      <c r="L48">
        <v>20090</v>
      </c>
      <c r="M48">
        <v>32500</v>
      </c>
      <c r="N48">
        <v>0.3818</v>
      </c>
      <c r="O48">
        <v>0</v>
      </c>
      <c r="P48" t="str">
        <v>-</v>
      </c>
      <c r="Q48" t="str">
        <v>-</v>
      </c>
      <c r="R48">
        <v>1</v>
      </c>
      <c r="S48">
        <v>2</v>
      </c>
      <c r="T48" t="str">
        <v>5000267014401</v>
      </c>
      <c r="U48">
        <v>22099</v>
      </c>
      <c r="V48">
        <v>20090</v>
      </c>
      <c r="X48" t="str">
        <v>생필 12개</v>
      </c>
    </row>
    <row r="49">
      <c r="A49">
        <v>47</v>
      </c>
      <c r="B49" t="str">
        <v>솔라라 로제 750ml</v>
      </c>
      <c r="C49">
        <v>1</v>
      </c>
      <c r="D49" t="str">
        <v>-</v>
      </c>
      <c r="E49" t="str">
        <v>-</v>
      </c>
      <c r="F49" t="str">
        <v>-</v>
      </c>
      <c r="G49">
        <v>0</v>
      </c>
      <c r="H49" t="str">
        <v>⚪ 미판매</v>
      </c>
      <c r="I49">
        <v>0</v>
      </c>
      <c r="J49">
        <v>0</v>
      </c>
      <c r="K49" t="str">
        <v>부성</v>
      </c>
      <c r="L49">
        <v>20570</v>
      </c>
      <c r="M49">
        <v>25000</v>
      </c>
      <c r="N49">
        <v>0.1772</v>
      </c>
      <c r="O49">
        <v>0</v>
      </c>
      <c r="P49" t="str">
        <v>-</v>
      </c>
      <c r="Q49" t="str">
        <v>-</v>
      </c>
      <c r="R49">
        <v>1</v>
      </c>
      <c r="S49">
        <v>2</v>
      </c>
      <c r="T49" t="str">
        <v>5942084507134</v>
      </c>
      <c r="U49">
        <v>20570</v>
      </c>
    </row>
    <row r="50">
      <c r="A50">
        <v>48</v>
      </c>
      <c r="B50" t="str">
        <v>벨즈 위스키 700ml</v>
      </c>
      <c r="C50" t="str">
        <v>-</v>
      </c>
      <c r="D50">
        <v>2</v>
      </c>
      <c r="E50" t="str">
        <v>-</v>
      </c>
      <c r="F50" t="str">
        <v>-</v>
      </c>
      <c r="G50">
        <v>0</v>
      </c>
      <c r="H50" t="str">
        <v>⚪ 미판매</v>
      </c>
      <c r="I50">
        <v>0</v>
      </c>
      <c r="J50">
        <v>0</v>
      </c>
      <c r="K50" t="str">
        <v>생필체인</v>
      </c>
      <c r="L50">
        <v>13700</v>
      </c>
      <c r="M50">
        <v>23000</v>
      </c>
      <c r="N50">
        <v>0.4043</v>
      </c>
      <c r="O50">
        <v>0</v>
      </c>
      <c r="P50" t="str">
        <v>-</v>
      </c>
      <c r="Q50" t="str">
        <v>-</v>
      </c>
      <c r="R50" t="str">
        <v>-</v>
      </c>
      <c r="S50">
        <v>2</v>
      </c>
      <c r="T50" t="str">
        <v>5000387905634</v>
      </c>
      <c r="W50">
        <v>13700</v>
      </c>
      <c r="X50" t="str">
        <v>생필 12개</v>
      </c>
    </row>
    <row r="51">
      <c r="A51">
        <v>49</v>
      </c>
      <c r="B51" t="str">
        <v>발렌타인17년Set 500ml</v>
      </c>
      <c r="C51" t="str">
        <v>-</v>
      </c>
      <c r="D51">
        <v>1</v>
      </c>
      <c r="E51" t="str">
        <v>-</v>
      </c>
      <c r="F51" t="str">
        <v>-</v>
      </c>
      <c r="G51">
        <v>0</v>
      </c>
      <c r="H51" t="str">
        <v>⚪ 미판매</v>
      </c>
      <c r="I51">
        <v>0</v>
      </c>
      <c r="J51">
        <v>0</v>
      </c>
      <c r="K51" t="str">
        <v>생필체인</v>
      </c>
      <c r="L51">
        <v>95857.3</v>
      </c>
      <c r="M51">
        <v>175000</v>
      </c>
      <c r="N51">
        <v>0.4522</v>
      </c>
      <c r="O51">
        <v>0</v>
      </c>
      <c r="P51" t="str">
        <v>-</v>
      </c>
      <c r="Q51" t="str">
        <v>-</v>
      </c>
      <c r="R51" t="str">
        <v>-</v>
      </c>
      <c r="S51">
        <v>1</v>
      </c>
      <c r="T51" t="str">
        <v>5010106110140</v>
      </c>
      <c r="W51">
        <v>95857.3</v>
      </c>
    </row>
    <row r="52">
      <c r="A52">
        <v>50</v>
      </c>
      <c r="B52" t="str">
        <v>마뱅] 리유니트 모스카토 750ml</v>
      </c>
      <c r="C52">
        <v>1</v>
      </c>
      <c r="D52" t="str">
        <v>-</v>
      </c>
      <c r="E52" t="str">
        <v>-</v>
      </c>
      <c r="F52" t="str">
        <v>-</v>
      </c>
      <c r="G52">
        <v>0</v>
      </c>
      <c r="H52" t="str">
        <v>⚪ 미판매</v>
      </c>
      <c r="I52">
        <v>0</v>
      </c>
      <c r="J52">
        <v>0</v>
      </c>
      <c r="K52" t="str">
        <v>부성</v>
      </c>
      <c r="L52">
        <v>9680</v>
      </c>
      <c r="M52">
        <v>18000</v>
      </c>
      <c r="N52">
        <v>0.4622</v>
      </c>
      <c r="O52">
        <v>0</v>
      </c>
      <c r="P52" t="str">
        <v>-</v>
      </c>
      <c r="Q52" t="str">
        <v>-</v>
      </c>
      <c r="R52" t="str">
        <v>-</v>
      </c>
      <c r="S52">
        <v>1</v>
      </c>
      <c r="T52" t="str">
        <v>89744765659</v>
      </c>
      <c r="U52">
        <v>9680</v>
      </c>
      <c r="V52">
        <v>999999</v>
      </c>
    </row>
    <row r="53">
      <c r="A53">
        <v>51</v>
      </c>
      <c r="B53" t="str">
        <v>골든블루17년Set 450ml</v>
      </c>
      <c r="C53" t="str">
        <v>-</v>
      </c>
      <c r="D53">
        <v>1</v>
      </c>
      <c r="E53" t="str">
        <v>-</v>
      </c>
      <c r="F53" t="str">
        <v>-</v>
      </c>
      <c r="G53">
        <v>0</v>
      </c>
      <c r="H53" t="str">
        <v>⚪ 미판매</v>
      </c>
      <c r="I53">
        <v>0</v>
      </c>
      <c r="J53">
        <v>0</v>
      </c>
      <c r="K53" t="str">
        <v>생필체인</v>
      </c>
      <c r="L53">
        <v>44990</v>
      </c>
      <c r="M53">
        <v>115000</v>
      </c>
      <c r="N53">
        <v>0.6088</v>
      </c>
      <c r="O53">
        <v>0</v>
      </c>
      <c r="P53" t="str">
        <v>-</v>
      </c>
      <c r="Q53" t="str">
        <v>-</v>
      </c>
      <c r="R53" t="str">
        <v>-</v>
      </c>
      <c r="S53">
        <v>1</v>
      </c>
      <c r="T53" t="str">
        <v>8809136182107</v>
      </c>
      <c r="W53">
        <v>44990</v>
      </c>
    </row>
    <row r="54">
      <c r="A54">
        <v>52</v>
      </c>
      <c r="B54" t="str">
        <v>원소주] 오리지널 375ml</v>
      </c>
      <c r="C54" t="str">
        <v>-</v>
      </c>
      <c r="D54" t="str">
        <v>-</v>
      </c>
      <c r="E54" t="str">
        <v>-</v>
      </c>
      <c r="F54" t="str">
        <v>-</v>
      </c>
      <c r="G54">
        <v>0</v>
      </c>
      <c r="H54" t="str">
        <v>⚪ 미판매</v>
      </c>
      <c r="I54">
        <v>0</v>
      </c>
      <c r="J54">
        <v>0</v>
      </c>
      <c r="K54" t="str">
        <v>데이터 없음</v>
      </c>
      <c r="L54">
        <v>11383</v>
      </c>
      <c r="M54">
        <v>18000</v>
      </c>
      <c r="N54">
        <v>0.3676</v>
      </c>
      <c r="O54">
        <v>0</v>
      </c>
      <c r="P54" t="str">
        <v>-</v>
      </c>
      <c r="Q54" t="str">
        <v>-</v>
      </c>
      <c r="R54" t="str">
        <v>-</v>
      </c>
      <c r="S54">
        <v>0</v>
      </c>
      <c r="T54" t="str">
        <v/>
      </c>
    </row>
    <row r="55">
      <c r="A55">
        <v>53</v>
      </c>
      <c r="B55" t="str">
        <v>원소주] 스피릿 375ml</v>
      </c>
      <c r="C55" t="str">
        <v>-</v>
      </c>
      <c r="D55" t="str">
        <v>-</v>
      </c>
      <c r="E55" t="str">
        <v>-</v>
      </c>
      <c r="F55" t="str">
        <v>-</v>
      </c>
      <c r="G55">
        <v>0</v>
      </c>
      <c r="H55" t="str">
        <v>⚪ 미판매</v>
      </c>
      <c r="I55">
        <v>0</v>
      </c>
      <c r="J55">
        <v>0</v>
      </c>
      <c r="K55" t="str">
        <v>데이터 없음</v>
      </c>
      <c r="L55">
        <v>9933</v>
      </c>
      <c r="M55">
        <v>16000</v>
      </c>
      <c r="N55">
        <v>0.3792</v>
      </c>
      <c r="O55">
        <v>0</v>
      </c>
      <c r="P55" t="str">
        <v>-</v>
      </c>
      <c r="Q55" t="str">
        <v>-</v>
      </c>
      <c r="R55" t="str">
        <v>-</v>
      </c>
      <c r="S55">
        <v>0</v>
      </c>
      <c r="T55" t="str">
        <v/>
      </c>
    </row>
    <row r="56">
      <c r="A56">
        <v>54</v>
      </c>
      <c r="B56" t="str">
        <v>옐로우테일 쉬라즈 750ML</v>
      </c>
      <c r="C56" t="str">
        <v>-</v>
      </c>
      <c r="D56" t="str">
        <v>-</v>
      </c>
      <c r="E56" t="str">
        <v>-</v>
      </c>
      <c r="F56" t="str">
        <v>-</v>
      </c>
      <c r="G56">
        <v>0</v>
      </c>
      <c r="H56" t="str">
        <v>⚪ 미판매</v>
      </c>
      <c r="I56">
        <v>0</v>
      </c>
      <c r="J56">
        <v>0</v>
      </c>
      <c r="K56" t="str">
        <v>세븐</v>
      </c>
      <c r="L56">
        <v>9470</v>
      </c>
      <c r="M56">
        <v>23000</v>
      </c>
      <c r="N56">
        <v>0.5883</v>
      </c>
      <c r="O56">
        <v>0</v>
      </c>
      <c r="P56" t="str">
        <v>-</v>
      </c>
      <c r="Q56" t="str">
        <v>-</v>
      </c>
      <c r="R56" t="str">
        <v>-</v>
      </c>
      <c r="S56">
        <v>0</v>
      </c>
      <c r="T56" t="str">
        <v/>
      </c>
      <c r="V56">
        <v>9470</v>
      </c>
      <c r="X56" t="str">
        <v>생필 12개</v>
      </c>
    </row>
    <row r="57">
      <c r="A57">
        <v>55</v>
      </c>
      <c r="B57" t="str">
        <v>옐로우테일 모스카또 750ML</v>
      </c>
      <c r="C57" t="str">
        <v>-</v>
      </c>
      <c r="D57" t="str">
        <v>-</v>
      </c>
      <c r="E57" t="str">
        <v>-</v>
      </c>
      <c r="F57" t="str">
        <v>-</v>
      </c>
      <c r="G57">
        <v>0</v>
      </c>
      <c r="H57" t="str">
        <v>⚪ 미판매</v>
      </c>
      <c r="I57">
        <v>0</v>
      </c>
      <c r="J57">
        <v>0</v>
      </c>
      <c r="K57" t="str">
        <v>데이터 없음</v>
      </c>
      <c r="L57">
        <v>0</v>
      </c>
      <c r="M57">
        <v>0</v>
      </c>
      <c r="N57" t="str">
        <v>#DIV/0!</v>
      </c>
      <c r="O57">
        <v>0</v>
      </c>
      <c r="P57" t="str">
        <v>-</v>
      </c>
      <c r="Q57" t="str">
        <v>-</v>
      </c>
      <c r="R57" t="str">
        <v>-</v>
      </c>
      <c r="S57">
        <v>0</v>
      </c>
      <c r="T57" t="str">
        <v/>
      </c>
      <c r="X57" t="str">
        <v>생필 12개</v>
      </c>
    </row>
    <row r="58">
      <c r="A58">
        <v>56</v>
      </c>
      <c r="B58" t="str">
        <v>옐로우테일 메를로 750ML</v>
      </c>
      <c r="C58" t="str">
        <v>-</v>
      </c>
      <c r="D58" t="str">
        <v>-</v>
      </c>
      <c r="E58" t="str">
        <v>-</v>
      </c>
      <c r="F58" t="str">
        <v>-</v>
      </c>
      <c r="G58">
        <v>0</v>
      </c>
      <c r="H58" t="str">
        <v>⚪ 미판매</v>
      </c>
      <c r="I58">
        <v>0</v>
      </c>
      <c r="J58">
        <v>0</v>
      </c>
      <c r="K58" t="str">
        <v>데이터 없음</v>
      </c>
      <c r="L58">
        <v>0</v>
      </c>
      <c r="M58">
        <v>0</v>
      </c>
      <c r="N58" t="str">
        <v>#DIV/0!</v>
      </c>
      <c r="O58">
        <v>0</v>
      </c>
      <c r="P58" t="str">
        <v>-</v>
      </c>
      <c r="Q58" t="str">
        <v>-</v>
      </c>
      <c r="R58" t="str">
        <v>-</v>
      </c>
      <c r="S58">
        <v>0</v>
      </c>
      <c r="T58" t="str">
        <v/>
      </c>
      <c r="X58" t="str">
        <v>생필 12개</v>
      </c>
    </row>
    <row r="60">
      <c r="A60" t="str">
        <v>====================================================================================================================================================</v>
      </c>
    </row>
    <row r="61">
      <c r="A61" t="str">
        <v>📦 [거래처별 최종 발주서 요약] - 복사하여 카톡/문자 전송 가능</v>
      </c>
    </row>
    <row r="62">
      <c r="A62" t="str">
        <v>====================================================================================================================================================</v>
      </c>
    </row>
    <row r="64">
      <c r="A64" t="str">
        <v>🏢 [부성 발주서]</v>
      </c>
      <c r="B64" t="str">
        <v>총 8병</v>
      </c>
      <c r="C64" t="str">
        <v>주문금액: 140,746원</v>
      </c>
    </row>
    <row r="65">
      <c r="A65" t="str">
        <v>바코드</v>
      </c>
      <c r="B65" t="str">
        <v>품목명</v>
      </c>
      <c r="C65" t="str">
        <v>오늘발주수량</v>
      </c>
      <c r="D65" t="str">
        <v>매입단가</v>
      </c>
      <c r="E65" t="str">
        <v>합계금액</v>
      </c>
      <c r="F65" t="str">
        <v>직전7/15주문</v>
      </c>
      <c r="G65" t="str">
        <v>이후판매량</v>
      </c>
      <c r="H65" t="str">
        <v>최근판매일</v>
      </c>
    </row>
    <row r="66">
      <c r="A66" t="str">
        <v>8809267520809</v>
      </c>
      <c r="B66" t="str">
        <v>G7 샤르도네 750ml</v>
      </c>
      <c r="C66">
        <v>2</v>
      </c>
      <c r="D66">
        <v>7018</v>
      </c>
      <c r="E66">
        <v>14036</v>
      </c>
      <c r="F66">
        <v>2</v>
      </c>
      <c r="G66">
        <v>2</v>
      </c>
      <c r="H66" t="str">
        <v>2026.08.08</v>
      </c>
    </row>
    <row r="67">
      <c r="A67" t="str">
        <v>8410024710960</v>
      </c>
      <c r="B67" t="str">
        <v>말리부 700ml</v>
      </c>
      <c r="C67">
        <v>2</v>
      </c>
      <c r="D67">
        <v>23909</v>
      </c>
      <c r="E67">
        <v>47818</v>
      </c>
      <c r="F67">
        <v>0</v>
      </c>
      <c r="G67">
        <v>2</v>
      </c>
      <c r="H67" t="str">
        <v>2026.08.29</v>
      </c>
    </row>
    <row r="68">
      <c r="A68" t="str">
        <v>8004385028620</v>
      </c>
      <c r="B68" t="str">
        <v>BS)빌라욜란다 모스카토 로제 750ml</v>
      </c>
      <c r="C68">
        <v>1</v>
      </c>
      <c r="D68">
        <v>18513</v>
      </c>
      <c r="E68">
        <v>18513</v>
      </c>
      <c r="F68">
        <v>1</v>
      </c>
      <c r="G68">
        <v>1</v>
      </c>
      <c r="H68" t="str">
        <v>2026.08.04</v>
      </c>
    </row>
    <row r="69">
      <c r="A69" t="str">
        <v>7804320561431</v>
      </c>
      <c r="B69" t="str">
        <v>BS)디아블로 데블스 콜렉션 750ml</v>
      </c>
      <c r="C69">
        <v>1</v>
      </c>
      <c r="D69">
        <v>17666</v>
      </c>
      <c r="E69">
        <v>17666</v>
      </c>
      <c r="F69">
        <v>0</v>
      </c>
      <c r="G69">
        <v>1</v>
      </c>
      <c r="H69" t="str">
        <v>2026.08.08</v>
      </c>
    </row>
    <row r="70">
      <c r="A70" t="str">
        <v>689352009925</v>
      </c>
      <c r="B70" t="str">
        <v>BS) 킴 크로포드 말보로 쇼비뇽 블랑 750ml</v>
      </c>
      <c r="C70">
        <v>1</v>
      </c>
      <c r="D70">
        <v>27588</v>
      </c>
      <c r="E70">
        <v>27588</v>
      </c>
      <c r="F70">
        <v>0</v>
      </c>
      <c r="G70">
        <v>1</v>
      </c>
      <c r="H70" t="str">
        <v>2026.08.13</v>
      </c>
    </row>
    <row r="71">
      <c r="A71" t="str">
        <v>-</v>
      </c>
      <c r="B71" t="str">
        <v>BS) 킴 크로포드 말보로 쇼비뇽 블랑 375ml</v>
      </c>
      <c r="C71">
        <v>1</v>
      </c>
      <c r="D71">
        <v>15125</v>
      </c>
      <c r="E71">
        <v>15125</v>
      </c>
      <c r="F71">
        <v>0</v>
      </c>
      <c r="G71">
        <v>1</v>
      </c>
      <c r="H71" t="str">
        <v>2026.08.13</v>
      </c>
    </row>
    <row r="73">
      <c r="A73" t="str">
        <v>🏢 [세븐 발주서]</v>
      </c>
      <c r="B73" t="str">
        <v>총 24병</v>
      </c>
      <c r="C73" t="str">
        <v>주문금액: 132,086원</v>
      </c>
    </row>
    <row r="74">
      <c r="A74" t="str">
        <v>바코드</v>
      </c>
      <c r="B74" t="str">
        <v>품목명</v>
      </c>
      <c r="C74" t="str">
        <v>오늘발주수량</v>
      </c>
      <c r="D74" t="str">
        <v>매입단가</v>
      </c>
      <c r="E74" t="str">
        <v>합계금액</v>
      </c>
      <c r="F74" t="str">
        <v>직전7/15주문</v>
      </c>
      <c r="G74" t="str">
        <v>이후판매량</v>
      </c>
      <c r="H74" t="str">
        <v>최근판매일</v>
      </c>
    </row>
    <row r="75">
      <c r="A75" t="str">
        <v>8801147121847</v>
      </c>
      <c r="B75" t="str">
        <v>보해복분자 375ml</v>
      </c>
      <c r="C75">
        <v>6</v>
      </c>
      <c r="D75">
        <v>5597</v>
      </c>
      <c r="E75">
        <v>33582</v>
      </c>
      <c r="F75">
        <v>0</v>
      </c>
      <c r="G75">
        <v>6</v>
      </c>
      <c r="H75" t="str">
        <v>2026.08.16</v>
      </c>
    </row>
    <row r="76">
      <c r="A76" t="str">
        <v>9348423000261</v>
      </c>
      <c r="B76" t="str">
        <v>타임]와인글라스 카버네 187ml</v>
      </c>
      <c r="C76">
        <v>3</v>
      </c>
      <c r="D76">
        <v>2800</v>
      </c>
      <c r="E76">
        <v>8400</v>
      </c>
      <c r="F76">
        <v>6</v>
      </c>
      <c r="G76">
        <v>3</v>
      </c>
      <c r="H76" t="str">
        <v>2026.08.01</v>
      </c>
    </row>
    <row r="77">
      <c r="A77" t="str">
        <v>9348423000261</v>
      </c>
      <c r="B77" t="str">
        <v>타임]와인글라스 모스카토 187ml</v>
      </c>
      <c r="C77">
        <v>3</v>
      </c>
      <c r="D77">
        <v>2800</v>
      </c>
      <c r="E77">
        <v>8400</v>
      </c>
      <c r="F77">
        <v>6</v>
      </c>
      <c r="G77">
        <v>3</v>
      </c>
      <c r="H77" t="str">
        <v>2026.08.01</v>
      </c>
    </row>
    <row r="78">
      <c r="A78" t="str">
        <v>8802340165751</v>
      </c>
      <c r="B78" t="str">
        <v>옐로우테일 쉬라즈 187ML</v>
      </c>
      <c r="C78">
        <v>3</v>
      </c>
      <c r="D78">
        <v>2800</v>
      </c>
      <c r="E78">
        <v>8400</v>
      </c>
      <c r="F78">
        <v>5</v>
      </c>
      <c r="G78">
        <v>3</v>
      </c>
      <c r="H78" t="str">
        <v>2026.08.10</v>
      </c>
    </row>
    <row r="79">
      <c r="A79" t="str">
        <v>5000267025209</v>
      </c>
      <c r="B79" t="str">
        <v>조니워커 블랙 라벨 200ml</v>
      </c>
      <c r="C79">
        <v>2</v>
      </c>
      <c r="D79">
        <v>12420</v>
      </c>
      <c r="E79">
        <v>24840</v>
      </c>
      <c r="F79">
        <v>4</v>
      </c>
      <c r="G79">
        <v>2</v>
      </c>
      <c r="H79" t="str">
        <v>2026.08.31</v>
      </c>
    </row>
    <row r="80">
      <c r="A80" t="str">
        <v>3175529650962</v>
      </c>
      <c r="B80" t="str">
        <v>로쉐마제 쌩쏘 그르나슈 250ml</v>
      </c>
      <c r="C80">
        <v>2</v>
      </c>
      <c r="D80">
        <v>3182</v>
      </c>
      <c r="E80">
        <v>6364</v>
      </c>
      <c r="F80">
        <v>3</v>
      </c>
      <c r="G80">
        <v>2</v>
      </c>
      <c r="H80" t="str">
        <v>2026.08.05</v>
      </c>
    </row>
    <row r="81">
      <c r="A81" t="str">
        <v>5099873046173</v>
      </c>
      <c r="B81" t="str">
        <v>잭다니엘 블랙 200ml</v>
      </c>
      <c r="C81">
        <v>2</v>
      </c>
      <c r="D81">
        <v>9800</v>
      </c>
      <c r="E81">
        <v>19600</v>
      </c>
      <c r="F81">
        <v>2</v>
      </c>
      <c r="G81">
        <v>2</v>
      </c>
      <c r="H81" t="str">
        <v>2026.09.04</v>
      </c>
    </row>
    <row r="82">
      <c r="A82" t="str">
        <v>8802340245613</v>
      </c>
      <c r="B82" t="str">
        <v>옐로우테일 까소 187ML</v>
      </c>
      <c r="C82">
        <v>1</v>
      </c>
      <c r="D82">
        <v>2800</v>
      </c>
      <c r="E82">
        <v>2800</v>
      </c>
      <c r="F82">
        <v>5</v>
      </c>
      <c r="G82">
        <v>1</v>
      </c>
      <c r="H82" t="str">
        <v>2026.07.25</v>
      </c>
    </row>
    <row r="83">
      <c r="A83" t="str">
        <v>5099873060711</v>
      </c>
      <c r="B83" t="str">
        <v>잭다니엘스 허니 200ml</v>
      </c>
      <c r="C83">
        <v>1</v>
      </c>
      <c r="D83">
        <v>9800</v>
      </c>
      <c r="E83">
        <v>9800</v>
      </c>
      <c r="F83">
        <v>2</v>
      </c>
      <c r="G83">
        <v>1</v>
      </c>
      <c r="H83" t="str">
        <v>2026.07.17</v>
      </c>
    </row>
    <row r="84">
      <c r="A84" t="str">
        <v>5000299628652</v>
      </c>
      <c r="B84" t="str">
        <v>발렌타인10년 200ml</v>
      </c>
      <c r="C84">
        <v>1</v>
      </c>
      <c r="D84">
        <v>9900</v>
      </c>
      <c r="E84">
        <v>9900</v>
      </c>
      <c r="F84">
        <v>0</v>
      </c>
      <c r="G84">
        <v>1</v>
      </c>
      <c r="H84" t="str">
        <v>2026.07.25</v>
      </c>
    </row>
    <row r="86">
      <c r="A86" t="str">
        <v>🏢 [생필체인 발주서]</v>
      </c>
      <c r="B86" t="str">
        <v>총 3병</v>
      </c>
      <c r="C86" t="str">
        <v>주문금액: 28,878원</v>
      </c>
    </row>
    <row r="87">
      <c r="A87" t="str">
        <v>바코드</v>
      </c>
      <c r="B87" t="str">
        <v>품목명</v>
      </c>
      <c r="C87" t="str">
        <v>오늘발주수량</v>
      </c>
      <c r="D87" t="str">
        <v>매입단가</v>
      </c>
      <c r="E87" t="str">
        <v>합계금액</v>
      </c>
      <c r="F87" t="str">
        <v>직전7/15주문</v>
      </c>
      <c r="G87" t="str">
        <v>이후판매량</v>
      </c>
      <c r="H87" t="str">
        <v>최근판매일</v>
      </c>
    </row>
    <row r="88">
      <c r="A88" t="str">
        <v>8801079411108</v>
      </c>
      <c r="B88" t="str">
        <v>경주법주원컵 200ml</v>
      </c>
      <c r="C88">
        <v>1</v>
      </c>
      <c r="D88">
        <v>1536.45</v>
      </c>
      <c r="E88">
        <v>1536</v>
      </c>
      <c r="F88">
        <v>0</v>
      </c>
      <c r="G88">
        <v>1</v>
      </c>
      <c r="H88" t="str">
        <v>2026.07.14</v>
      </c>
    </row>
    <row r="89">
      <c r="A89" t="str">
        <v>-</v>
      </c>
      <c r="B89" t="str">
        <v>디아블로 소비뇽블랑 750ml</v>
      </c>
      <c r="C89">
        <v>1</v>
      </c>
      <c r="D89">
        <v>10641.95</v>
      </c>
      <c r="E89">
        <v>10642</v>
      </c>
      <c r="F89">
        <v>0</v>
      </c>
      <c r="G89">
        <v>1</v>
      </c>
      <c r="H89" t="str">
        <v>2026.08.23</v>
      </c>
    </row>
    <row r="90">
      <c r="A90" t="str">
        <v>8809861950101</v>
      </c>
      <c r="B90" t="str">
        <v>원소주] 클래식 375ml</v>
      </c>
      <c r="C90">
        <v>1</v>
      </c>
      <c r="D90">
        <v>16700.01667</v>
      </c>
      <c r="E90">
        <v>16700</v>
      </c>
      <c r="F90">
        <v>0</v>
      </c>
      <c r="G90">
        <v>1</v>
      </c>
      <c r="H90" t="str">
        <v>2026.09.05</v>
      </c>
    </row>
  </sheetData>
  <ignoredErrors>
    <ignoredError numberStoredAsText="1" sqref="A1:X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S1005"/>
  <sheetViews>
    <sheetView workbookViewId="0"/>
  </sheetViews>
  <sheetData>
    <row r="1">
      <c r="O1" t="str">
        <v>999999은 미판매</v>
      </c>
    </row>
    <row r="2">
      <c r="B2" t="str">
        <v>코드</v>
      </c>
      <c r="C2" t="str">
        <v>선정 업체</v>
      </c>
      <c r="D2" t="str">
        <v>선정 가격</v>
      </c>
      <c r="E2" t="str">
        <v>품명</v>
      </c>
      <c r="F2" t="str">
        <v>제품 명</v>
      </c>
      <c r="G2" t="str">
        <v>용량</v>
      </c>
      <c r="H2" t="str">
        <v>수량</v>
      </c>
      <c r="I2" t="str">
        <v>매입가</v>
      </c>
      <c r="J2" t="str">
        <v>판매가</v>
      </c>
      <c r="K2" t="str">
        <v>수익율</v>
      </c>
      <c r="L2" t="str">
        <v>부성</v>
      </c>
      <c r="M2" t="str">
        <v>세븐</v>
      </c>
      <c r="N2" t="str">
        <v>생필체인</v>
      </c>
      <c r="O2" t="str">
        <v>최소 발주 수량</v>
      </c>
      <c r="P2" t="str">
        <v>260715 재고</v>
      </c>
    </row>
    <row r="3" xml:space="preserve">
      <c r="B3" t="str">
        <v xml:space="preserve">8809267520809  </v>
      </c>
      <c r="C3" t="str" xml:space="preserve">
        <f xml:space="preserve">IF(COUNT(L3, M3, N3)=0, "데이터 없음", 
  IF(MIN(L3, M3, N3)=L3, $L$2, 
  IF(MIN(L3, M3, N3)=M3, $M$2, $N$2)))</f>
        <v>데이터 없음</v>
      </c>
      <c r="D3" t="str">
        <f>IF(COUNT(L3, M3, N3)=0, "", MIN(L3, M3, N3))</f>
        <v/>
      </c>
      <c r="E3" t="str">
        <v>G7 샤르도네 750ml</v>
      </c>
      <c r="F3" t="str">
        <f>IFERROR(LEFT(E3, SEARCH("^^", SUBSTITUTE(E3, " ", "^^", LEN(E3)-LEN(SUBSTITUTE(E3, " ", ""))))-1), E3)</f>
        <v>G7 샤르도네</v>
      </c>
      <c r="G3" t="str">
        <f>TRIM(RIGHT(SUBSTITUTE(E3, " ", REPT(" ", 100)), 100))</f>
        <v>750ml</v>
      </c>
      <c r="H3">
        <v>2</v>
      </c>
      <c r="I3">
        <v>7018</v>
      </c>
      <c r="J3">
        <v>18000</v>
      </c>
      <c r="K3">
        <f>(J3-I3)/J3</f>
        <v>0.6101111111</v>
      </c>
      <c r="P3">
        <v>1</v>
      </c>
    </row>
    <row r="4" xml:space="preserve">
      <c r="B4">
        <v>8809267520793</v>
      </c>
      <c r="C4" t="str" xml:space="preserve">
        <f xml:space="preserve">IF(COUNT(L4, M4, N4)=0, "데이터 없음", 
  IF(MIN(L4, M4, N4)=L4, $L$2, 
  IF(MIN(L4, M4, N4)=M4, $M$2, $N$2)))</f>
        <v>세븐</v>
      </c>
      <c r="D4">
        <f>IF(COUNT(L4, M4, N4)=0, "", MIN(L4, M4, N4))</f>
        <v>5350</v>
      </c>
      <c r="E4" t="str">
        <v>G7 까베르네 소비뇽 750ml</v>
      </c>
      <c r="F4" t="str">
        <f>IFERROR(LEFT(E4, SEARCH("^^", SUBSTITUTE(E4, " ", "^^", LEN(E4)-LEN(SUBSTITUTE(E4, " ", ""))))-1), E4)</f>
        <v>G7 까베르네 소비뇽</v>
      </c>
      <c r="G4" t="str">
        <f>TRIM(RIGHT(SUBSTITUTE(E4, " ", REPT(" ", 100)), 100))</f>
        <v>750ml</v>
      </c>
      <c r="H4">
        <v>3</v>
      </c>
      <c r="I4">
        <f>MIN(L4:M4)</f>
        <v>5350</v>
      </c>
      <c r="J4">
        <v>18000</v>
      </c>
      <c r="K4">
        <f>(J4-I4)/J4</f>
        <v>0.7027777778</v>
      </c>
      <c r="L4">
        <v>7260</v>
      </c>
      <c r="M4">
        <v>5350</v>
      </c>
      <c r="P4">
        <v>0</v>
      </c>
    </row>
    <row r="5" xml:space="preserve">
      <c r="B5">
        <v>8004385028620</v>
      </c>
      <c r="C5" t="str" xml:space="preserve">
        <f xml:space="preserve">IF(COUNT(L5, M5, N5)=0, "데이터 없음", 
  IF(MIN(L5, M5, N5)=L5, $L$2, 
  IF(MIN(L5, M5, N5)=M5, $M$2, $N$2)))</f>
        <v>부성</v>
      </c>
      <c r="D5">
        <f>IF(COUNT(L5, M5, N5)=0, "", MIN(L5, M5, N5))</f>
        <v>18513</v>
      </c>
      <c r="E5" t="str">
        <v>BS)빌라욜란다 모스카토 로제 750ml</v>
      </c>
      <c r="F5" t="str">
        <f>IFERROR(LEFT(E5, SEARCH("^^", SUBSTITUTE(E5, " ", "^^", LEN(E5)-LEN(SUBSTITUTE(E5, " ", ""))))-1), E5)</f>
        <v>BS)빌라욜란다 모스카토 로제</v>
      </c>
      <c r="G5" t="str">
        <f>TRIM(RIGHT(SUBSTITUTE(E5, " ", REPT(" ", 100)), 100))</f>
        <v>750ml</v>
      </c>
      <c r="H5">
        <v>1</v>
      </c>
      <c r="I5">
        <f>MIN(L5:M5)</f>
        <v>18513</v>
      </c>
      <c r="J5">
        <v>29000</v>
      </c>
      <c r="K5">
        <f>(J5-I5)/J5</f>
        <v>0.3616206897</v>
      </c>
      <c r="L5">
        <v>18513</v>
      </c>
      <c r="M5">
        <v>999999</v>
      </c>
      <c r="P5">
        <v>2</v>
      </c>
    </row>
    <row r="6" xml:space="preserve">
      <c r="B6" t="str">
        <v xml:space="preserve">3566921002990  </v>
      </c>
      <c r="C6" t="str" xml:space="preserve">
        <f xml:space="preserve">IF(COUNT(L6, M6, N6)=0, "데이터 없음", 
  IF(MIN(L6, M6, N6)=L6, $L$2, 
  IF(MIN(L6, M6, N6)=M6, $M$2, $N$2)))</f>
        <v>부성</v>
      </c>
      <c r="D6">
        <f>IF(COUNT(L6, M6, N6)=0, "", MIN(L6, M6, N6))</f>
        <v>40112</v>
      </c>
      <c r="E6" t="str">
        <v>BS)루이라뚜르 피노누아 레피에르 도레 750m</v>
      </c>
      <c r="F6" t="str">
        <f>IFERROR(LEFT(E6, SEARCH("^^", SUBSTITUTE(E6, " ", "^^", LEN(E6)-LEN(SUBSTITUTE(E6, " ", ""))))-1), E6)</f>
        <v>BS)루이라뚜르 피노누아 레피에르 도레</v>
      </c>
      <c r="G6" t="str">
        <f>TRIM(RIGHT(SUBSTITUTE(E6, " ", REPT(" ", 100)), 100))</f>
        <v>750m</v>
      </c>
      <c r="I6">
        <f>MIN(L6:M6)</f>
        <v>40112</v>
      </c>
      <c r="J6">
        <v>62000</v>
      </c>
      <c r="K6">
        <f>(J6-I6)/J6</f>
        <v>0.3530322581</v>
      </c>
      <c r="L6">
        <v>40112</v>
      </c>
      <c r="M6">
        <v>999999</v>
      </c>
    </row>
    <row r="7" xml:space="preserve">
      <c r="B7">
        <v>7804320561431</v>
      </c>
      <c r="C7" t="str" xml:space="preserve">
        <f xml:space="preserve">IF(COUNT(L7, M7, N7)=0, "데이터 없음", 
  IF(MIN(L7, M7, N7)=L7, $L$2, 
  IF(MIN(L7, M7, N7)=M7, $M$2, $N$2)))</f>
        <v>부성</v>
      </c>
      <c r="D7">
        <f>IF(COUNT(L7, M7, N7)=0, "", MIN(L7, M7, N7))</f>
        <v>17666</v>
      </c>
      <c r="E7" t="str">
        <v>BS)디아블로 데블스 콜렉션 750ml</v>
      </c>
      <c r="F7" t="str">
        <f>IFERROR(LEFT(E7, SEARCH("^^", SUBSTITUTE(E7, " ", "^^", LEN(E7)-LEN(SUBSTITUTE(E7, " ", ""))))-1), E7)</f>
        <v>BS)디아블로 데블스 콜렉션</v>
      </c>
      <c r="G7" t="str">
        <f>TRIM(RIGHT(SUBSTITUTE(E7, " ", REPT(" ", 100)), 100))</f>
        <v>750ml</v>
      </c>
      <c r="I7">
        <f>MIN(L7:M7)</f>
        <v>17666</v>
      </c>
      <c r="J7">
        <v>29000</v>
      </c>
      <c r="K7">
        <f>(J7-I7)/J7</f>
        <v>0.3908275862</v>
      </c>
      <c r="L7">
        <v>17666</v>
      </c>
    </row>
    <row r="8" xml:space="preserve">
      <c r="C8" t="str" xml:space="preserve">
        <f xml:space="preserve">IF(COUNT(L8, M8, N8)=0, "데이터 없음", 
  IF(MIN(L8, M8, N8)=L8, $L$2, 
  IF(MIN(L8, M8, N8)=M8, $M$2, $N$2)))</f>
        <v>부성</v>
      </c>
      <c r="D8">
        <f>IF(COUNT(L8, M8, N8)=0, "", MIN(L8, M8, N8))</f>
        <v>15125</v>
      </c>
      <c r="E8" t="str">
        <v>BS) 킴 크로포드 말보로 쇼비뇽 블랑 375ml</v>
      </c>
      <c r="F8" t="str">
        <f>IFERROR(LEFT(E8, SEARCH("^^", SUBSTITUTE(E8, " ", "^^", LEN(E8)-LEN(SUBSTITUTE(E8, " ", ""))))-1), E8)</f>
        <v>BS) 킴 크로포드 말보로 쇼비뇽 블랑</v>
      </c>
      <c r="G8" t="str">
        <f>TRIM(RIGHT(SUBSTITUTE(E8, " ", REPT(" ", 100)), 100))</f>
        <v>375ml</v>
      </c>
      <c r="I8">
        <v>15125</v>
      </c>
      <c r="J8">
        <v>29000</v>
      </c>
      <c r="K8">
        <f>(J8-I8)/J8</f>
        <v>0.4784482759</v>
      </c>
      <c r="L8">
        <v>15125</v>
      </c>
      <c r="M8">
        <v>999999</v>
      </c>
      <c r="P8">
        <v>4</v>
      </c>
    </row>
    <row r="9" xml:space="preserve">
      <c r="B9">
        <v>689352009925</v>
      </c>
      <c r="C9" t="str" xml:space="preserve">
        <f xml:space="preserve">IF(COUNT(L9, M9, N9)=0, "데이터 없음", 
  IF(MIN(L9, M9, N9)=L9, $L$2, 
  IF(MIN(L9, M9, N9)=M9, $M$2, $N$2)))</f>
        <v>부성</v>
      </c>
      <c r="D9">
        <f>IF(COUNT(L9, M9, N9)=0, "", MIN(L9, M9, N9))</f>
        <v>27588</v>
      </c>
      <c r="E9" t="str">
        <v>BS) 킴 크로포드 말보로 쇼비뇽 블랑 750ml</v>
      </c>
      <c r="F9" t="str">
        <f>IFERROR(LEFT(E9, SEARCH("^^", SUBSTITUTE(E9, " ", "^^", LEN(E9)-LEN(SUBSTITUTE(E9, " ", ""))))-1), E9)</f>
        <v>BS) 킴 크로포드 말보로 쇼비뇽 블랑</v>
      </c>
      <c r="G9" t="str">
        <f>TRIM(RIGHT(SUBSTITUTE(E9, " ", REPT(" ", 100)), 100))</f>
        <v>750ml</v>
      </c>
      <c r="I9">
        <f>MIN(L9:M9)</f>
        <v>27588</v>
      </c>
      <c r="J9">
        <v>43000</v>
      </c>
      <c r="K9">
        <f>(J9-I9)/J9</f>
        <v>0.3584186047</v>
      </c>
      <c r="L9">
        <v>27588</v>
      </c>
      <c r="M9">
        <v>999999</v>
      </c>
      <c r="P9">
        <v>3</v>
      </c>
    </row>
    <row r="10" xml:space="preserve">
      <c r="B10">
        <v>4058222100400</v>
      </c>
      <c r="C10" t="str" xml:space="preserve">
        <f xml:space="preserve">IF(COUNT(L10, M10, N10)=0, "데이터 없음", 
  IF(MIN(L10, M10, N10)=L10, $L$2, 
  IF(MIN(L10, M10, N10)=M10, $M$2, $N$2)))</f>
        <v>부성</v>
      </c>
      <c r="D10">
        <f>IF(COUNT(L10, M10, N10)=0, "", MIN(L10, M10, N10))</f>
        <v>9680</v>
      </c>
      <c r="E10" t="str">
        <v>BS 인디] 로트 캡션 로제 샴페인 750ml</v>
      </c>
      <c r="F10" t="str">
        <f>IFERROR(LEFT(E10, SEARCH("^^", SUBSTITUTE(E10, " ", "^^", LEN(E10)-LEN(SUBSTITUTE(E10, " ", ""))))-1), E10)</f>
        <v>BS 인디] 로트 캡션 로제 샴페인</v>
      </c>
      <c r="G10" t="str">
        <f>TRIM(RIGHT(SUBSTITUTE(E10, " ", REPT(" ", 100)), 100))</f>
        <v>750ml</v>
      </c>
      <c r="I10">
        <f>MIN(L10:M10)</f>
        <v>9680</v>
      </c>
      <c r="J10">
        <v>19000</v>
      </c>
      <c r="K10">
        <f>(J10-I10)/J10</f>
        <v>0.4905263158</v>
      </c>
      <c r="L10">
        <v>9680</v>
      </c>
      <c r="M10">
        <v>999999</v>
      </c>
    </row>
    <row r="11" xml:space="preserve">
      <c r="C11" t="str" xml:space="preserve">
        <f xml:space="preserve">IF(COUNT(L11, M11, N11)=0, "데이터 없음", 
  IF(MIN(L11, M11, N11)=L11, $L$2, 
  IF(MIN(L11, M11, N11)=M11, $M$2, $N$2)))</f>
        <v>부성</v>
      </c>
      <c r="D11">
        <f>IF(COUNT(L11, M11, N11)=0, "", MIN(L11, M11, N11))</f>
        <v>9680</v>
      </c>
      <c r="E11" t="str">
        <v>BS 인디] 로트 캡션 뀌베 브뤼 750ml</v>
      </c>
      <c r="F11" t="str">
        <f>IFERROR(LEFT(E11, SEARCH("^^", SUBSTITUTE(E11, " ", "^^", LEN(E11)-LEN(SUBSTITUTE(E11, " ", ""))))-1), E11)</f>
        <v>BS 인디] 로트 캡션 뀌베 브뤼</v>
      </c>
      <c r="G11" t="str">
        <f>TRIM(RIGHT(SUBSTITUTE(E11, " ", REPT(" ", 100)), 100))</f>
        <v>750ml</v>
      </c>
      <c r="H11">
        <v>4</v>
      </c>
      <c r="I11">
        <v>9933</v>
      </c>
      <c r="J11">
        <v>19000</v>
      </c>
      <c r="K11">
        <f>(J11-I11)/J11</f>
        <v>0.4772105263</v>
      </c>
      <c r="L11">
        <v>9680</v>
      </c>
      <c r="M11">
        <v>999999</v>
      </c>
      <c r="P11">
        <v>0</v>
      </c>
    </row>
    <row r="12" xml:space="preserve">
      <c r="B12">
        <v>8809158901526</v>
      </c>
      <c r="C12" t="str" xml:space="preserve">
        <f xml:space="preserve">IF(COUNT(L12, M12, N12)=0, "데이터 없음", 
  IF(MIN(L12, M12, N12)=L12, $L$2, 
  IF(MIN(L12, M12, N12)=M12, $M$2, $N$2)))</f>
        <v>부성</v>
      </c>
      <c r="D12">
        <f>IF(COUNT(L12, M12, N12)=0, "", MIN(L12, M12, N12))</f>
        <v>17600</v>
      </c>
      <c r="E12" t="str">
        <v>화요41 375ml</v>
      </c>
      <c r="F12" t="str">
        <f>IFERROR(LEFT(E12, SEARCH("^^", SUBSTITUTE(E12, " ", "^^", LEN(E12)-LEN(SUBSTITUTE(E12, " ", ""))))-1), E12)</f>
        <v>화요41</v>
      </c>
      <c r="G12" t="str">
        <f>TRIM(RIGHT(SUBSTITUTE(E12, " ", REPT(" ", 100)), 100))</f>
        <v>375ml</v>
      </c>
      <c r="I12">
        <f>MIN(L12:M12)</f>
        <v>17600</v>
      </c>
      <c r="J12">
        <v>31000</v>
      </c>
      <c r="K12">
        <f>(J12-I12)/J12</f>
        <v>0.4322580645</v>
      </c>
      <c r="L12">
        <v>17600</v>
      </c>
      <c r="P12">
        <v>4</v>
      </c>
    </row>
    <row r="13" xml:space="preserve">
      <c r="B13">
        <v>8809158902424</v>
      </c>
      <c r="C13" t="str" xml:space="preserve">
        <f xml:space="preserve">IF(COUNT(L13, M13, N13)=0, "데이터 없음", 
  IF(MIN(L13, M13, N13)=L13, $L$2, 
  IF(MIN(L13, M13, N13)=M13, $M$2, $N$2)))</f>
        <v>세븐</v>
      </c>
      <c r="D13">
        <f>IF(COUNT(L13, M13, N13)=0, "", MIN(L13, M13, N13))</f>
        <v>8100</v>
      </c>
      <c r="E13" t="str">
        <v>화요25 375ml</v>
      </c>
      <c r="F13" t="str">
        <f>IFERROR(LEFT(E13, SEARCH("^^", SUBSTITUTE(E13, " ", "^^", LEN(E13)-LEN(SUBSTITUTE(E13, " ", ""))))-1), E13)</f>
        <v>화요25</v>
      </c>
      <c r="G13" t="str">
        <f>TRIM(RIGHT(SUBSTITUTE(E13, " ", REPT(" ", 100)), 100))</f>
        <v>375ml</v>
      </c>
      <c r="H13">
        <v>2</v>
      </c>
      <c r="I13">
        <f>MIN(L13:M13)</f>
        <v>8100</v>
      </c>
      <c r="J13">
        <v>18000</v>
      </c>
      <c r="K13">
        <f>(J13-I13)/J13</f>
        <v>0.55</v>
      </c>
      <c r="L13">
        <v>8910</v>
      </c>
      <c r="M13">
        <v>8100</v>
      </c>
      <c r="N13">
        <f>49091*1.1/6</f>
        <v>9000.016667</v>
      </c>
      <c r="P13">
        <v>2</v>
      </c>
    </row>
    <row r="14" xml:space="preserve">
      <c r="C14" t="str" xml:space="preserve">
        <f xml:space="preserve">IF(COUNT(L14, M14, N14)=0, "데이터 없음", 
  IF(MIN(L14, M14, N14)=L14, $L$2, 
  IF(MIN(L14, M14, N14)=M14, $M$2, $N$2)))</f>
        <v>생필체인</v>
      </c>
      <c r="D14">
        <f>IF(COUNT(L14, M14, N14)=0, "", MIN(L14, M14, N14))</f>
        <v>9000</v>
      </c>
      <c r="E14" t="str">
        <v>화요 19금 375ml</v>
      </c>
      <c r="F14" t="str">
        <f>IFERROR(LEFT(E14, SEARCH("^^", SUBSTITUTE(E14, " ", "^^", LEN(E14)-LEN(SUBSTITUTE(E14, " ", ""))))-1), E14)</f>
        <v>화요 19금</v>
      </c>
      <c r="G14" t="str">
        <f>TRIM(RIGHT(SUBSTITUTE(E14, " ", REPT(" ", 100)), 100))</f>
        <v>375ml</v>
      </c>
      <c r="I14">
        <v>8350</v>
      </c>
      <c r="J14">
        <v>14000</v>
      </c>
      <c r="K14">
        <f>(J14-I14)/J14</f>
        <v>0.4035714286</v>
      </c>
      <c r="N14">
        <v>9000</v>
      </c>
      <c r="O14" t="str">
        <v>생필 6개</v>
      </c>
      <c r="P14">
        <v>7</v>
      </c>
    </row>
    <row r="15" xml:space="preserve">
      <c r="B15">
        <v>8809380368098</v>
      </c>
      <c r="C15" t="str" xml:space="preserve">
        <f xml:space="preserve">IF(COUNT(L15, M15, N15)=0, "데이터 없음", 
  IF(MIN(L15, M15, N15)=L15, $L$2, 
  IF(MIN(L15, M15, N15)=M15, $M$2, $N$2)))</f>
        <v>세븐</v>
      </c>
      <c r="D15">
        <f>IF(COUNT(L15, M15, N15)=0, "", MIN(L15, M15, N15))</f>
        <v>41000</v>
      </c>
      <c r="E15" t="str">
        <v>텍스트북 나파 까.쇼 750ml</v>
      </c>
      <c r="F15" t="str">
        <f>IFERROR(LEFT(E15, SEARCH("^^", SUBSTITUTE(E15, " ", "^^", LEN(E15)-LEN(SUBSTITUTE(E15, " ", ""))))-1), E15)</f>
        <v>텍스트북 나파 까.쇼</v>
      </c>
      <c r="G15" t="str">
        <f>TRIM(RIGHT(SUBSTITUTE(E15, " ", REPT(" ", 100)), 100))</f>
        <v>750ml</v>
      </c>
      <c r="I15">
        <f>MIN(L15:M15)</f>
        <v>41000</v>
      </c>
      <c r="J15">
        <v>78000</v>
      </c>
      <c r="K15">
        <f>(J15-I15)/J15</f>
        <v>0.4743589744</v>
      </c>
      <c r="L15">
        <v>56100</v>
      </c>
      <c r="M15">
        <v>41000</v>
      </c>
      <c r="N15">
        <v>999999</v>
      </c>
    </row>
    <row r="16" xml:space="preserve">
      <c r="B16">
        <v>9348423000261</v>
      </c>
      <c r="C16" t="str" xml:space="preserve">
        <f xml:space="preserve">IF(COUNT(L16, M16, N16)=0, "데이터 없음", 
  IF(MIN(L16, M16, N16)=L16, $L$2, 
  IF(MIN(L16, M16, N16)=M16, $M$2, $N$2)))</f>
        <v>세븐</v>
      </c>
      <c r="D16">
        <f>IF(COUNT(L16, M16, N16)=0, "", MIN(L16, M16, N16))</f>
        <v>2800</v>
      </c>
      <c r="E16" t="str">
        <v>타임]와인글라스 카버네 187ml</v>
      </c>
      <c r="F16" t="str">
        <f>IFERROR(LEFT(E16, SEARCH("^^", SUBSTITUTE(E16, " ", "^^", LEN(E16)-LEN(SUBSTITUTE(E16, " ", ""))))-1), E16)</f>
        <v>타임]와인글라스 카버네</v>
      </c>
      <c r="G16" t="str">
        <f>TRIM(RIGHT(SUBSTITUTE(E16, " ", REPT(" ", 100)), 100))</f>
        <v>187ml</v>
      </c>
      <c r="H16">
        <v>6</v>
      </c>
      <c r="I16">
        <v>2800</v>
      </c>
      <c r="J16">
        <v>6200</v>
      </c>
      <c r="K16">
        <f>(J16-I16)/J16</f>
        <v>0.5483870968</v>
      </c>
      <c r="M16">
        <v>2800</v>
      </c>
    </row>
    <row r="17" xml:space="preserve">
      <c r="B17">
        <v>9348423000261</v>
      </c>
      <c r="C17" t="str" xml:space="preserve">
        <f xml:space="preserve">IF(COUNT(L17, M17, N17)=0, "데이터 없음", 
  IF(MIN(L17, M17, N17)=L17, $L$2, 
  IF(MIN(L17, M17, N17)=M17, $M$2, $N$2)))</f>
        <v>세븐</v>
      </c>
      <c r="D17">
        <f>IF(COUNT(L17, M17, N17)=0, "", MIN(L17, M17, N17))</f>
        <v>2800</v>
      </c>
      <c r="E17" t="str">
        <v>타임]와인글라스 모스카토 187ml</v>
      </c>
      <c r="F17" t="str">
        <f>IFERROR(LEFT(E17, SEARCH("^^", SUBSTITUTE(E17, " ", "^^", LEN(E17)-LEN(SUBSTITUTE(E17, " ", ""))))-1), E17)</f>
        <v>타임]와인글라스 모스카토</v>
      </c>
      <c r="G17" t="str">
        <f>TRIM(RIGHT(SUBSTITUTE(E17, " ", REPT(" ", 100)), 100))</f>
        <v>187ml</v>
      </c>
      <c r="H17">
        <v>6</v>
      </c>
      <c r="I17">
        <v>2800</v>
      </c>
      <c r="J17">
        <v>6200</v>
      </c>
      <c r="K17">
        <f>(J17-I17)/J17</f>
        <v>0.5483870968</v>
      </c>
      <c r="M17">
        <v>2800</v>
      </c>
    </row>
    <row r="18" xml:space="preserve">
      <c r="B18">
        <v>5000267025209</v>
      </c>
      <c r="C18" t="str" xml:space="preserve">
        <f xml:space="preserve">IF(COUNT(L18, M18, N18)=0, "데이터 없음", 
  IF(MIN(L18, M18, N18)=L18, $L$2, 
  IF(MIN(L18, M18, N18)=M18, $M$2, $N$2)))</f>
        <v>세븐</v>
      </c>
      <c r="D18">
        <f>IF(COUNT(L18, M18, N18)=0, "", MIN(L18, M18, N18))</f>
        <v>12420</v>
      </c>
      <c r="E18" t="str">
        <v>조니워커 블랙 라벨 200ml</v>
      </c>
      <c r="F18" t="str">
        <f>IFERROR(LEFT(E18, SEARCH("^^", SUBSTITUTE(E18, " ", "^^", LEN(E18)-LEN(SUBSTITUTE(E18, " ", ""))))-1), E18)</f>
        <v>조니워커 블랙 라벨</v>
      </c>
      <c r="G18" t="str">
        <f>TRIM(RIGHT(SUBSTITUTE(E18, " ", REPT(" ", 100)), 100))</f>
        <v>200ml</v>
      </c>
      <c r="H18">
        <v>4</v>
      </c>
      <c r="I18">
        <f>MIN(L18:M18)</f>
        <v>12420</v>
      </c>
      <c r="J18">
        <v>19900</v>
      </c>
      <c r="K18">
        <f>(J18-I18)/J18</f>
        <v>0.375879397</v>
      </c>
      <c r="L18">
        <v>13662</v>
      </c>
      <c r="M18">
        <v>12420</v>
      </c>
      <c r="N18">
        <v>999999</v>
      </c>
      <c r="P18">
        <v>0</v>
      </c>
    </row>
    <row r="19" xml:space="preserve">
      <c r="B19">
        <v>5000267014401</v>
      </c>
      <c r="C19" t="str" xml:space="preserve">
        <f xml:space="preserve">IF(COUNT(L19, M19, N19)=0, "데이터 없음", 
  IF(MIN(L19, M19, N19)=L19, $L$2, 
  IF(MIN(L19, M19, N19)=M19, $M$2, $N$2)))</f>
        <v>세븐</v>
      </c>
      <c r="D19">
        <f>IF(COUNT(L19, M19, N19)=0, "", MIN(L19, M19, N19))</f>
        <v>20090</v>
      </c>
      <c r="E19" t="str">
        <v>조니워커 레드라벨 500ml</v>
      </c>
      <c r="F19" t="str">
        <f>IFERROR(LEFT(E19, SEARCH("^^", SUBSTITUTE(E19, " ", "^^", LEN(E19)-LEN(SUBSTITUTE(E19, " ", ""))))-1), E19)</f>
        <v>조니워커 레드라벨</v>
      </c>
      <c r="G19" t="str">
        <f>TRIM(RIGHT(SUBSTITUTE(E19, " ", REPT(" ", 100)), 100))</f>
        <v>500ml</v>
      </c>
      <c r="I19">
        <f>MIN(L19:M19)</f>
        <v>20090</v>
      </c>
      <c r="J19">
        <v>32500</v>
      </c>
      <c r="K19">
        <f>(J19-I19)/J19</f>
        <v>0.3818461538</v>
      </c>
      <c r="L19">
        <v>22099</v>
      </c>
      <c r="M19">
        <v>20090</v>
      </c>
      <c r="O19" t="str">
        <v>생필 12개</v>
      </c>
      <c r="P19">
        <v>1</v>
      </c>
    </row>
    <row r="20" xml:space="preserve">
      <c r="B20">
        <v>5000267015200</v>
      </c>
      <c r="C20" t="str" xml:space="preserve">
        <f xml:space="preserve">IF(COUNT(L20, M20, N20)=0, "데이터 없음", 
  IF(MIN(L20, M20, N20)=L20, $L$2, 
  IF(MIN(L20, M20, N20)=M20, $M$2, $N$2)))</f>
        <v>세븐</v>
      </c>
      <c r="D20">
        <f>IF(COUNT(L20, M20, N20)=0, "", MIN(L20, M20, N20))</f>
        <v>7740</v>
      </c>
      <c r="E20" t="str">
        <v>조니워커 레드 라벨 200ml</v>
      </c>
      <c r="F20" t="str">
        <f>IFERROR(LEFT(E20, SEARCH("^^", SUBSTITUTE(E20, " ", "^^", LEN(E20)-LEN(SUBSTITUTE(E20, " ", ""))))-1), E20)</f>
        <v>조니워커 레드 라벨</v>
      </c>
      <c r="G20" t="str">
        <f>TRIM(RIGHT(SUBSTITUTE(E20, " ", REPT(" ", 100)), 100))</f>
        <v>200ml</v>
      </c>
      <c r="I20">
        <f>MIN(L20:M20)</f>
        <v>7740</v>
      </c>
      <c r="J20">
        <v>12900</v>
      </c>
      <c r="K20">
        <f>(J20-I20)/J20</f>
        <v>0.4</v>
      </c>
      <c r="L20">
        <v>8514</v>
      </c>
      <c r="M20">
        <v>7740</v>
      </c>
      <c r="N20">
        <v>999999</v>
      </c>
      <c r="P20">
        <v>6</v>
      </c>
    </row>
    <row r="21" xml:space="preserve">
      <c r="B21">
        <v>5099873060711</v>
      </c>
      <c r="C21" t="str" xml:space="preserve">
        <f xml:space="preserve">IF(COUNT(L21, M21, N21)=0, "데이터 없음", 
  IF(MIN(L21, M21, N21)=L21, $L$2, 
  IF(MIN(L21, M21, N21)=M21, $M$2, $N$2)))</f>
        <v>세븐</v>
      </c>
      <c r="D21">
        <f>IF(COUNT(L21, M21, N21)=0, "", MIN(L21, M21, N21))</f>
        <v>9800</v>
      </c>
      <c r="E21" t="str">
        <v>잭다니엘스 허니 200ml</v>
      </c>
      <c r="F21" t="str">
        <f>IFERROR(LEFT(E21, SEARCH("^^", SUBSTITUTE(E21, " ", "^^", LEN(E21)-LEN(SUBSTITUTE(E21, " ", ""))))-1), E21)</f>
        <v>잭다니엘스 허니</v>
      </c>
      <c r="G21" t="str">
        <f>TRIM(RIGHT(SUBSTITUTE(E21, " ", REPT(" ", 100)), 100))</f>
        <v>200ml</v>
      </c>
      <c r="H21">
        <v>2</v>
      </c>
      <c r="I21">
        <f>MIN(L21:M21)</f>
        <v>9800</v>
      </c>
      <c r="J21">
        <v>17900</v>
      </c>
      <c r="K21">
        <f>(J21-I21)/J21</f>
        <v>0.4525139665</v>
      </c>
      <c r="L21">
        <v>13750</v>
      </c>
      <c r="M21">
        <v>9800</v>
      </c>
      <c r="N21">
        <v>999999</v>
      </c>
      <c r="P21">
        <v>2</v>
      </c>
      <c r="Q21">
        <v>1</v>
      </c>
    </row>
    <row r="22" xml:space="preserve">
      <c r="B22">
        <v>5099873046173</v>
      </c>
      <c r="C22" t="str" xml:space="preserve">
        <f xml:space="preserve">IF(COUNT(L22, M22, N22)=0, "데이터 없음", 
  IF(MIN(L22, M22, N22)=L22, $L$2, 
  IF(MIN(L22, M22, N22)=M22, $M$2, $N$2)))</f>
        <v>세븐</v>
      </c>
      <c r="D22">
        <f>IF(COUNT(L22, M22, N22)=0, "", MIN(L22, M22, N22))</f>
        <v>9800</v>
      </c>
      <c r="E22" t="str">
        <v>잭다니엘 블랙 200ml</v>
      </c>
      <c r="F22" t="str">
        <f>IFERROR(LEFT(E22, SEARCH("^^", SUBSTITUTE(E22, " ", "^^", LEN(E22)-LEN(SUBSTITUTE(E22, " ", ""))))-1), E22)</f>
        <v>잭다니엘 블랙</v>
      </c>
      <c r="G22" t="str">
        <f>TRIM(RIGHT(SUBSTITUTE(E22, " ", REPT(" ", 100)), 100))</f>
        <v>200ml</v>
      </c>
      <c r="H22">
        <v>2</v>
      </c>
      <c r="I22">
        <f>MIN(L22:M22)</f>
        <v>9800</v>
      </c>
      <c r="J22">
        <v>17900</v>
      </c>
      <c r="K22">
        <f>(J22-I22)/J22</f>
        <v>0.4525139665</v>
      </c>
      <c r="L22">
        <v>13750</v>
      </c>
      <c r="M22">
        <v>9800</v>
      </c>
      <c r="N22">
        <v>999999</v>
      </c>
      <c r="P22">
        <v>2</v>
      </c>
      <c r="Q22" t="str">
        <v>큰거 X</v>
      </c>
      <c r="S22" t="str">
        <v>애플 큰거 2</v>
      </c>
    </row>
    <row r="23" xml:space="preserve">
      <c r="B23">
        <v>8809861950101</v>
      </c>
      <c r="C23" t="str" xml:space="preserve">
        <f xml:space="preserve">IF(COUNT(L23, M23, N23)=0, "데이터 없음", 
  IF(MIN(L23, M23, N23)=L23, $L$2, 
  IF(MIN(L23, M23, N23)=M23, $M$2, $N$2)))</f>
        <v>생필체인</v>
      </c>
      <c r="D23">
        <f>IF(COUNT(L23, M23, N23)=0, "", MIN(L23, M23, N23))</f>
        <v>16700.01667</v>
      </c>
      <c r="E23" t="str">
        <v>원소주] 클래식 375ml</v>
      </c>
      <c r="F23" t="str">
        <f>IFERROR(LEFT(E23, SEARCH("^^", SUBSTITUTE(E23, " ", "^^", LEN(E23)-LEN(SUBSTITUTE(E23, " ", ""))))-1), E23)</f>
        <v>원소주] 클래식</v>
      </c>
      <c r="G23" t="str">
        <f>TRIM(RIGHT(SUBSTITUTE(E23, " ", REPT(" ", 100)), 100))</f>
        <v>375ml</v>
      </c>
      <c r="I23">
        <v>16700</v>
      </c>
      <c r="J23">
        <v>26000</v>
      </c>
      <c r="K23">
        <f>(J23-I23)/J23</f>
        <v>0.3576923077</v>
      </c>
      <c r="N23">
        <f>91091*1.1/6</f>
        <v>16700.01667</v>
      </c>
      <c r="O23" t="str">
        <v>생필 6개</v>
      </c>
      <c r="P23">
        <v>5</v>
      </c>
    </row>
    <row r="24" xml:space="preserve">
      <c r="C24" t="str" xml:space="preserve">
        <f xml:space="preserve">IF(COUNT(L24, M24, N24)=0, "데이터 없음", 
  IF(MIN(L24, M24, N24)=L24, $L$2, 
  IF(MIN(L24, M24, N24)=M24, $M$2, $N$2)))</f>
        <v>데이터 없음</v>
      </c>
      <c r="D24" t="str">
        <f>IF(COUNT(L24, M24, N24)=0, "", MIN(L24, M24, N24))</f>
        <v/>
      </c>
      <c r="E24" t="str">
        <v>원소주] 오리지널 375ml</v>
      </c>
      <c r="F24" t="str">
        <f>IFERROR(LEFT(E24, SEARCH("^^", SUBSTITUTE(E24, " ", "^^", LEN(E24)-LEN(SUBSTITUTE(E24, " ", ""))))-1), E24)</f>
        <v>원소주] 오리지널</v>
      </c>
      <c r="G24" t="str">
        <f>TRIM(RIGHT(SUBSTITUTE(E24, " ", REPT(" ", 100)), 100))</f>
        <v>375ml</v>
      </c>
      <c r="I24">
        <v>11383</v>
      </c>
      <c r="J24">
        <v>18000</v>
      </c>
      <c r="K24">
        <f>(J24-I24)/J24</f>
        <v>0.3676111111</v>
      </c>
    </row>
    <row r="25" xml:space="preserve">
      <c r="C25" t="str" xml:space="preserve">
        <f xml:space="preserve">IF(COUNT(L25, M25, N25)=0, "데이터 없음", 
  IF(MIN(L25, M25, N25)=L25, $L$2, 
  IF(MIN(L25, M25, N25)=M25, $M$2, $N$2)))</f>
        <v>데이터 없음</v>
      </c>
      <c r="D25" t="str">
        <f>IF(COUNT(L25, M25, N25)=0, "", MIN(L25, M25, N25))</f>
        <v/>
      </c>
      <c r="E25" t="str">
        <v>원소주] 스피릿 375ml</v>
      </c>
      <c r="F25" t="str">
        <f>IFERROR(LEFT(E25, SEARCH("^^", SUBSTITUTE(E25, " ", "^^", LEN(E25)-LEN(SUBSTITUTE(E25, " ", ""))))-1), E25)</f>
        <v>원소주] 스피릿</v>
      </c>
      <c r="G25" t="str">
        <f>TRIM(RIGHT(SUBSTITUTE(E25, " ", REPT(" ", 100)), 100))</f>
        <v>375ml</v>
      </c>
      <c r="I25">
        <v>9933</v>
      </c>
      <c r="J25">
        <v>16000</v>
      </c>
      <c r="K25">
        <f>(J25-I25)/J25</f>
        <v>0.3791875</v>
      </c>
    </row>
    <row r="26" xml:space="preserve">
      <c r="B26">
        <v>8802340270141</v>
      </c>
      <c r="C26" t="str" xml:space="preserve">
        <f xml:space="preserve">IF(COUNT(L26, M26, N26)=0, "데이터 없음", 
  IF(MIN(L26, M26, N26)=L26, $L$2, 
  IF(MIN(L26, M26, N26)=M26, $M$2, $N$2)))</f>
        <v>세븐</v>
      </c>
      <c r="D26">
        <f>IF(COUNT(L26, M26, N26)=0, "", MIN(L26, M26, N26))</f>
        <v>9470</v>
      </c>
      <c r="E26" t="str">
        <v>옐로우테일 제미레드 750ML</v>
      </c>
      <c r="F26" t="str">
        <f>IFERROR(LEFT(E26, SEARCH("^^", SUBSTITUTE(E26, " ", "^^", LEN(E26)-LEN(SUBSTITUTE(E26, " ", ""))))-1), E26)</f>
        <v>옐로우테일 제미레드</v>
      </c>
      <c r="G26" t="str">
        <f>TRIM(RIGHT(SUBSTITUTE(E26, " ", REPT(" ", 100)), 100))</f>
        <v>750ML</v>
      </c>
      <c r="I26">
        <v>9470</v>
      </c>
      <c r="J26">
        <v>23000</v>
      </c>
      <c r="K26">
        <f>(J26-I26)/J26</f>
        <v>0.5882608696</v>
      </c>
      <c r="M26">
        <v>9470</v>
      </c>
      <c r="P26" t="str">
        <v>3개 있음</v>
      </c>
    </row>
    <row r="27" xml:space="preserve">
      <c r="C27" t="str" xml:space="preserve">
        <f xml:space="preserve">IF(COUNT(L27, M27, N27)=0, "데이터 없음", 
  IF(MIN(L27, M27, N27)=L27, $L$2, 
  IF(MIN(L27, M27, N27)=M27, $M$2, $N$2)))</f>
        <v>세븐</v>
      </c>
      <c r="D27">
        <f>IF(COUNT(L27, M27, N27)=0, "", MIN(L27, M27, N27))</f>
        <v>9470</v>
      </c>
      <c r="E27" t="str">
        <v>옐로우테일 쉬라즈 750ML</v>
      </c>
      <c r="F27" t="str">
        <f>IFERROR(LEFT(E27, SEARCH("^^", SUBSTITUTE(E27, " ", "^^", LEN(E27)-LEN(SUBSTITUTE(E27, " ", ""))))-1), E27)</f>
        <v>옐로우테일 쉬라즈</v>
      </c>
      <c r="G27" t="str">
        <f>TRIM(RIGHT(SUBSTITUTE(E27, " ", REPT(" ", 100)), 100))</f>
        <v>750ML</v>
      </c>
      <c r="I27">
        <v>12100</v>
      </c>
      <c r="J27">
        <v>23000</v>
      </c>
      <c r="K27">
        <f>(J27-I27)/J27</f>
        <v>0.4739130435</v>
      </c>
      <c r="M27">
        <v>9470</v>
      </c>
      <c r="O27" t="str">
        <v>생필 12개</v>
      </c>
      <c r="R27" t="str">
        <v>옐로우테일, 리저브 1개</v>
      </c>
    </row>
    <row r="28" xml:space="preserve">
      <c r="B28">
        <v>8802340165751</v>
      </c>
      <c r="C28" t="str" xml:space="preserve">
        <f xml:space="preserve">IF(COUNT(L28, M28, N28)=0, "데이터 없음", 
  IF(MIN(L28, M28, N28)=L28, $L$2, 
  IF(MIN(L28, M28, N28)=M28, $M$2, $N$2)))</f>
        <v>세븐</v>
      </c>
      <c r="D28">
        <f>IF(COUNT(L28, M28, N28)=0, "", MIN(L28, M28, N28))</f>
        <v>2800</v>
      </c>
      <c r="E28" t="str">
        <v>옐로우테일 쉬라즈 187ML</v>
      </c>
      <c r="F28" t="str">
        <f>IFERROR(LEFT(E28, SEARCH("^^", SUBSTITUTE(E28, " ", "^^", LEN(E28)-LEN(SUBSTITUTE(E28, " ", ""))))-1), E28)</f>
        <v>옐로우테일 쉬라즈</v>
      </c>
      <c r="G28" t="str">
        <f>TRIM(RIGHT(SUBSTITUTE(E28, " ", REPT(" ", 100)), 100))</f>
        <v>187ML</v>
      </c>
      <c r="H28">
        <v>5</v>
      </c>
      <c r="I28">
        <f>MIN(L28:M28)</f>
        <v>2800</v>
      </c>
      <c r="J28">
        <v>6000</v>
      </c>
      <c r="K28">
        <f>(J28-I28)/J28</f>
        <v>0.5333333333</v>
      </c>
      <c r="L28">
        <v>3190</v>
      </c>
      <c r="M28">
        <v>2800</v>
      </c>
    </row>
    <row r="29" xml:space="preserve">
      <c r="C29" t="str" xml:space="preserve">
        <f xml:space="preserve">IF(COUNT(L29, M29, N29)=0, "데이터 없음", 
  IF(MIN(L29, M29, N29)=L29, $L$2, 
  IF(MIN(L29, M29, N29)=M29, $M$2, $N$2)))</f>
        <v>세븐</v>
      </c>
      <c r="D29">
        <f>IF(COUNT(L29, M29, N29)=0, "", MIN(L29, M29, N29))</f>
        <v>9470</v>
      </c>
      <c r="E29" t="str">
        <v>옐로우테일 샤도네 750ML</v>
      </c>
      <c r="F29" t="str">
        <f>IFERROR(LEFT(E29, SEARCH("^^", SUBSTITUTE(E29, " ", "^^", LEN(E29)-LEN(SUBSTITUTE(E29, " ", ""))))-1), E29)</f>
        <v>옐로우테일 샤도네</v>
      </c>
      <c r="G29" t="str">
        <f>TRIM(RIGHT(SUBSTITUTE(E29, " ", REPT(" ", 100)), 100))</f>
        <v>750ML</v>
      </c>
      <c r="H29">
        <v>3</v>
      </c>
      <c r="I29">
        <v>9470</v>
      </c>
      <c r="J29">
        <v>23000</v>
      </c>
      <c r="K29">
        <f>(J29-I29)/J29</f>
        <v>0.5882608696</v>
      </c>
      <c r="M29">
        <v>9470</v>
      </c>
      <c r="O29" t="str">
        <v>생필 12개</v>
      </c>
      <c r="P29">
        <v>0</v>
      </c>
    </row>
    <row r="30" xml:space="preserve">
      <c r="C30" t="str" xml:space="preserve">
        <f xml:space="preserve">IF(COUNT(L30, M30, N30)=0, "데이터 없음", 
  IF(MIN(L30, M30, N30)=L30, $L$2, 
  IF(MIN(L30, M30, N30)=M30, $M$2, $N$2)))</f>
        <v>데이터 없음</v>
      </c>
      <c r="D30" t="str">
        <f>IF(COUNT(L30, M30, N30)=0, "", MIN(L30, M30, N30))</f>
        <v/>
      </c>
      <c r="E30" t="str">
        <v>옐로우테일 모스카또 750ML</v>
      </c>
      <c r="F30" t="str">
        <f>IFERROR(LEFT(E30, SEARCH("^^", SUBSTITUTE(E30, " ", "^^", LEN(E30)-LEN(SUBSTITUTE(E30, " ", ""))))-1), E30)</f>
        <v>옐로우테일 모스카또</v>
      </c>
      <c r="G30" t="str">
        <f>TRIM(RIGHT(SUBSTITUTE(E30, " ", REPT(" ", 100)), 100))</f>
        <v>750ML</v>
      </c>
      <c r="K30" t="str">
        <f>(J30-I30)/J30</f>
        <v>#DIV/0!</v>
      </c>
      <c r="O30" t="str">
        <v>생필 12개</v>
      </c>
    </row>
    <row r="31" xml:space="preserve">
      <c r="C31" t="str" xml:space="preserve">
        <f xml:space="preserve">IF(COUNT(L31, M31, N31)=0, "데이터 없음", 
  IF(MIN(L31, M31, N31)=L31, $L$2, 
  IF(MIN(L31, M31, N31)=M31, $M$2, $N$2)))</f>
        <v>데이터 없음</v>
      </c>
      <c r="D31" t="str">
        <f>IF(COUNT(L31, M31, N31)=0, "", MIN(L31, M31, N31))</f>
        <v/>
      </c>
      <c r="E31" t="str">
        <v>옐로우테일 메를로 750ML</v>
      </c>
      <c r="F31" t="str">
        <f>IFERROR(LEFT(E31, SEARCH("^^", SUBSTITUTE(E31, " ", "^^", LEN(E31)-LEN(SUBSTITUTE(E31, " ", ""))))-1), E31)</f>
        <v>옐로우테일 메를로</v>
      </c>
      <c r="G31" t="str">
        <f>TRIM(RIGHT(SUBSTITUTE(E31, " ", REPT(" ", 100)), 100))</f>
        <v>750ML</v>
      </c>
      <c r="K31" t="str">
        <f>(J31-I31)/J31</f>
        <v>#DIV/0!</v>
      </c>
      <c r="O31" t="str">
        <v>생필 12개</v>
      </c>
    </row>
    <row r="32" xml:space="preserve">
      <c r="B32">
        <v>8802340245613</v>
      </c>
      <c r="C32" t="str" xml:space="preserve">
        <f xml:space="preserve">IF(COUNT(L32, M32, N32)=0, "데이터 없음", 
  IF(MIN(L32, M32, N32)=L32, $L$2, 
  IF(MIN(L32, M32, N32)=M32, $M$2, $N$2)))</f>
        <v>세븐</v>
      </c>
      <c r="D32">
        <f>IF(COUNT(L32, M32, N32)=0, "", MIN(L32, M32, N32))</f>
        <v>2800</v>
      </c>
      <c r="E32" t="str">
        <v>옐로우테일 까소 187ML</v>
      </c>
      <c r="F32" t="str">
        <f>IFERROR(LEFT(E32, SEARCH("^^", SUBSTITUTE(E32, " ", "^^", LEN(E32)-LEN(SUBSTITUTE(E32, " ", ""))))-1), E32)</f>
        <v>옐로우테일 까소</v>
      </c>
      <c r="G32" t="str">
        <f>TRIM(RIGHT(SUBSTITUTE(E32, " ", REPT(" ", 100)), 100))</f>
        <v>187ML</v>
      </c>
      <c r="H32">
        <v>5</v>
      </c>
      <c r="I32">
        <f>MIN(L32:M32)</f>
        <v>2800</v>
      </c>
      <c r="J32">
        <v>6000</v>
      </c>
      <c r="K32">
        <f>(J32-I32)/J32</f>
        <v>0.5333333333</v>
      </c>
      <c r="L32">
        <v>3190</v>
      </c>
      <c r="M32">
        <v>2800</v>
      </c>
    </row>
    <row r="33" xml:space="preserve">
      <c r="C33" t="str" xml:space="preserve">
        <f xml:space="preserve">IF(COUNT(L33, M33, N33)=0, "데이터 없음", 
  IF(MIN(L33, M33, N33)=L33, $L$2, 
  IF(MIN(L33, M33, N33)=M33, $M$2, $N$2)))</f>
        <v>데이터 없음</v>
      </c>
      <c r="D33" t="str">
        <f>IF(COUNT(L33, M33, N33)=0, "", MIN(L33, M33, N33))</f>
        <v/>
      </c>
      <c r="E33" t="str">
        <v>옐로우테일 까베르네 소비뇽 750ML</v>
      </c>
      <c r="F33" t="str">
        <f>IFERROR(LEFT(E33, SEARCH("^^", SUBSTITUTE(E33, " ", "^^", LEN(E33)-LEN(SUBSTITUTE(E33, " ", ""))))-1), E33)</f>
        <v>옐로우테일 까베르네 소비뇽</v>
      </c>
      <c r="G33" t="str">
        <f>TRIM(RIGHT(SUBSTITUTE(E33, " ", REPT(" ", 100)), 100))</f>
        <v>750ML</v>
      </c>
      <c r="H33">
        <v>2</v>
      </c>
      <c r="K33" t="str">
        <f>(J33-I33)/J33</f>
        <v>#DIV/0!</v>
      </c>
      <c r="O33" t="str">
        <v>생필 12개</v>
      </c>
      <c r="P33">
        <v>1</v>
      </c>
    </row>
    <row r="34" xml:space="preserve">
      <c r="C34" t="str" xml:space="preserve">
        <f xml:space="preserve">IF(COUNT(L34, M34, N34)=0, "데이터 없음", 
  IF(MIN(L34, M34, N34)=L34, $L$2, 
  IF(MIN(L34, M34, N34)=M34, $M$2, $N$2)))</f>
        <v>세븐</v>
      </c>
      <c r="D34">
        <f>IF(COUNT(L34, M34, N34)=0, "", MIN(L34, M34, N34))</f>
        <v>9470</v>
      </c>
      <c r="E34" t="str">
        <v>옐로우테일 까버네 750ML</v>
      </c>
      <c r="F34" t="str">
        <f>IFERROR(LEFT(E34, SEARCH("^^", SUBSTITUTE(E34, " ", "^^", LEN(E34)-LEN(SUBSTITUTE(E34, " ", ""))))-1), E34)</f>
        <v>옐로우테일 까버네</v>
      </c>
      <c r="G34" t="str">
        <f>TRIM(RIGHT(SUBSTITUTE(E34, " ", REPT(" ", 100)), 100))</f>
        <v>750ML</v>
      </c>
      <c r="I34">
        <v>9470</v>
      </c>
      <c r="J34">
        <v>23000</v>
      </c>
      <c r="K34">
        <f>(J34-I34)/J34</f>
        <v>0.5882608696</v>
      </c>
      <c r="M34">
        <v>9470</v>
      </c>
    </row>
    <row r="35" xml:space="preserve">
      <c r="B35">
        <v>5942084507356</v>
      </c>
      <c r="C35" t="str" xml:space="preserve">
        <f xml:space="preserve">IF(COUNT(L35, M35, N35)=0, "데이터 없음", 
  IF(MIN(L35, M35, N35)=L35, $L$2, 
  IF(MIN(L35, M35, N35)=M35, $M$2, $N$2)))</f>
        <v>부성</v>
      </c>
      <c r="D35">
        <f>IF(COUNT(L35, M35, N35)=0, "", MIN(L35, M35, N35))</f>
        <v>20570</v>
      </c>
      <c r="E35" t="str">
        <v>솔라라레드 750ml</v>
      </c>
      <c r="F35" t="str">
        <f>IFERROR(LEFT(E35, SEARCH("^^", SUBSTITUTE(E35, " ", "^^", LEN(E35)-LEN(SUBSTITUTE(E35, " ", ""))))-1), E35)</f>
        <v>솔라라레드</v>
      </c>
      <c r="G35" t="str">
        <f>TRIM(RIGHT(SUBSTITUTE(E35, " ", REPT(" ", 100)), 100))</f>
        <v>750ml</v>
      </c>
      <c r="I35">
        <f>MIN(L35:M35)</f>
        <v>20570</v>
      </c>
      <c r="J35">
        <v>34000</v>
      </c>
      <c r="K35">
        <f>(J35-I35)/J35</f>
        <v>0.395</v>
      </c>
      <c r="L35">
        <v>20570</v>
      </c>
    </row>
    <row r="36" xml:space="preserve">
      <c r="B36">
        <v>5942084507134</v>
      </c>
      <c r="C36" t="str" xml:space="preserve">
        <f xml:space="preserve">IF(COUNT(L36, M36, N36)=0, "데이터 없음", 
  IF(MIN(L36, M36, N36)=L36, $L$2, 
  IF(MIN(L36, M36, N36)=M36, $M$2, $N$2)))</f>
        <v>부성</v>
      </c>
      <c r="D36">
        <f>IF(COUNT(L36, M36, N36)=0, "", MIN(L36, M36, N36))</f>
        <v>20570</v>
      </c>
      <c r="E36" t="str">
        <v>솔라라 로제 750ml</v>
      </c>
      <c r="F36" t="str">
        <f>IFERROR(LEFT(E36, SEARCH("^^", SUBSTITUTE(E36, " ", "^^", LEN(E36)-LEN(SUBSTITUTE(E36, " ", ""))))-1), E36)</f>
        <v>솔라라 로제</v>
      </c>
      <c r="G36" t="str">
        <f>TRIM(RIGHT(SUBSTITUTE(E36, " ", REPT(" ", 100)), 100))</f>
        <v>750ml</v>
      </c>
      <c r="I36">
        <f>MIN(L36:M36)</f>
        <v>20570</v>
      </c>
      <c r="J36">
        <v>25000</v>
      </c>
      <c r="K36">
        <f>(J36-I36)/J36</f>
        <v>0.1772</v>
      </c>
      <c r="L36">
        <v>20570</v>
      </c>
    </row>
    <row r="37" xml:space="preserve">
      <c r="B37">
        <v>8004385034201</v>
      </c>
      <c r="C37" t="str" xml:space="preserve">
        <f xml:space="preserve">IF(COUNT(L37, M37, N37)=0, "데이터 없음", 
  IF(MIN(L37, M37, N37)=L37, $L$2, 
  IF(MIN(L37, M37, N37)=M37, $M$2, $N$2)))</f>
        <v>부성</v>
      </c>
      <c r="D37">
        <f>IF(COUNT(L37, M37, N37)=0, "", MIN(L37, M37, N37))</f>
        <v>16830</v>
      </c>
      <c r="E37" t="str">
        <v>빌라욜란다 모스카토 다스티 750ml</v>
      </c>
      <c r="F37" t="str">
        <f>IFERROR(LEFT(E37, SEARCH("^^", SUBSTITUTE(E37, " ", "^^", LEN(E37)-LEN(SUBSTITUTE(E37, " ", ""))))-1), E37)</f>
        <v>빌라욜란다 모스카토 다스티</v>
      </c>
      <c r="G37" t="str">
        <f>TRIM(RIGHT(SUBSTITUTE(E37, " ", REPT(" ", 100)), 100))</f>
        <v>750ml</v>
      </c>
      <c r="H37">
        <v>2</v>
      </c>
      <c r="I37">
        <f>MIN(L37:M37)</f>
        <v>16830</v>
      </c>
      <c r="J37">
        <v>29000</v>
      </c>
      <c r="K37">
        <f>(J37-I37)/J37</f>
        <v>0.4196551724</v>
      </c>
      <c r="L37">
        <v>16830</v>
      </c>
      <c r="M37">
        <v>999999</v>
      </c>
      <c r="P37">
        <v>1</v>
      </c>
    </row>
    <row r="38" xml:space="preserve">
      <c r="B38" t="str">
        <v>8806142707508</v>
      </c>
      <c r="C38" t="str" xml:space="preserve">
        <f xml:space="preserve">IF(COUNT(L38, M38, N38)=0, "데이터 없음", 
  IF(MIN(L38, M38, N38)=L38, $L$2, 
  IF(MIN(L38, M38, N38)=M38, $M$2, $N$2)))</f>
        <v>생필체인</v>
      </c>
      <c r="D38">
        <f>IF(COUNT(L38, M38, N38)=0, "", MIN(L38, M38, N38))</f>
        <v>6516.583333</v>
      </c>
      <c r="E38" t="str">
        <v>빌라엠로제 750ml</v>
      </c>
      <c r="F38" t="str">
        <f>IFERROR(LEFT(E38, SEARCH("^^", SUBSTITUTE(E38, " ", "^^", LEN(E38)-LEN(SUBSTITUTE(E38, " ", ""))))-1), E38)</f>
        <v>빌라엠로제</v>
      </c>
      <c r="G38" t="str">
        <f>TRIM(RIGHT(SUBSTITUTE(E38, " ", REPT(" ", 100)), 100))</f>
        <v>750ml</v>
      </c>
      <c r="I38">
        <f>(35545*1.1)/6</f>
        <v>6516.583333</v>
      </c>
      <c r="J38">
        <v>45000</v>
      </c>
      <c r="K38">
        <f>(J38-I38)/J38</f>
        <v>0.855187037</v>
      </c>
      <c r="N38">
        <f>(35545*1.1)/6</f>
        <v>6516.583333</v>
      </c>
      <c r="O38" t="str">
        <v>생필 6개</v>
      </c>
    </row>
    <row r="39" xml:space="preserve">
      <c r="B39">
        <v>80480301033</v>
      </c>
      <c r="C39" t="str" xml:space="preserve">
        <f xml:space="preserve">IF(COUNT(L39, M39, N39)=0, "데이터 없음", 
  IF(MIN(L39, M39, N39)=L39, $L$2, 
  IF(MIN(L39, M39, N39)=M39, $M$2, $N$2)))</f>
        <v>세븐</v>
      </c>
      <c r="D39">
        <f>IF(COUNT(L39, M39, N39)=0, "", MIN(L39, M39, N39))</f>
        <v>13900</v>
      </c>
      <c r="E39" t="str">
        <v>봄베이사파이어 375ml</v>
      </c>
      <c r="F39" t="str">
        <f>IFERROR(LEFT(E39, SEARCH("^^", SUBSTITUTE(E39, " ", "^^", LEN(E39)-LEN(SUBSTITUTE(E39, " ", ""))))-1), E39)</f>
        <v>봄베이사파이어</v>
      </c>
      <c r="G39" t="str">
        <f>TRIM(RIGHT(SUBSTITUTE(E39, " ", REPT(" ", 100)), 100))</f>
        <v>375ml</v>
      </c>
      <c r="I39">
        <f>MIN(L39:M39)</f>
        <v>13900</v>
      </c>
      <c r="J39">
        <v>27000</v>
      </c>
      <c r="K39">
        <f>(J39-I39)/J39</f>
        <v>0.4851851852</v>
      </c>
      <c r="L39">
        <v>17270</v>
      </c>
      <c r="M39">
        <v>13900</v>
      </c>
      <c r="N39">
        <v>999999</v>
      </c>
      <c r="P39">
        <v>10</v>
      </c>
    </row>
    <row r="40" xml:space="preserve">
      <c r="B40">
        <v>8801147121847</v>
      </c>
      <c r="C40" t="str" xml:space="preserve">
        <f xml:space="preserve">IF(COUNT(L40, M40, N40)=0, "데이터 없음", 
  IF(MIN(L40, M40, N40)=L40, $L$2, 
  IF(MIN(L40, M40, N40)=M40, $M$2, $N$2)))</f>
        <v>세븐</v>
      </c>
      <c r="D40">
        <f>IF(COUNT(L40, M40, N40)=0, "", MIN(L40, M40, N40))</f>
        <v>5597</v>
      </c>
      <c r="E40" t="str">
        <v>보해복분자 375ml</v>
      </c>
      <c r="F40" t="str">
        <f>IFERROR(LEFT(E40, SEARCH("^^", SUBSTITUTE(E40, " ", "^^", LEN(E40)-LEN(SUBSTITUTE(E40, " ", ""))))-1), E40)</f>
        <v>보해복분자</v>
      </c>
      <c r="G40" t="str">
        <f>TRIM(RIGHT(SUBSTITUTE(E40, " ", REPT(" ", 100)), 100))</f>
        <v>375ml</v>
      </c>
      <c r="I40">
        <f>MIN(L40:M40)</f>
        <v>5597</v>
      </c>
      <c r="J40">
        <v>10200</v>
      </c>
      <c r="K40">
        <f>(J40-I40)/J40</f>
        <v>0.4512745098</v>
      </c>
      <c r="L40">
        <v>6156</v>
      </c>
      <c r="M40">
        <v>5597</v>
      </c>
      <c r="N40">
        <f>(76176*1.1+1200)/12</f>
        <v>7082.8</v>
      </c>
      <c r="O40" t="str">
        <v>생필 12개</v>
      </c>
    </row>
    <row r="41" xml:space="preserve">
      <c r="B41" t="str">
        <v>5000387905634</v>
      </c>
      <c r="C41" t="str" xml:space="preserve">
        <f xml:space="preserve">IF(COUNT(L41, M41, N41)=0, "데이터 없음", 
  IF(MIN(L41, M41, N41)=L41, $L$2, 
  IF(MIN(L41, M41, N41)=M41, $M$2, $N$2)))</f>
        <v>생필체인</v>
      </c>
      <c r="D41">
        <f>IF(COUNT(L41, M41, N41)=0, "", MIN(L41, M41, N41))</f>
        <v>13700</v>
      </c>
      <c r="E41" t="str">
        <v>벨즈 위스키 700ml</v>
      </c>
      <c r="F41" t="str">
        <f>IFERROR(LEFT(E41, SEARCH("^^", SUBSTITUTE(E41, " ", "^^", LEN(E41)-LEN(SUBSTITUTE(E41, " ", ""))))-1), E41)</f>
        <v>벨즈 위스키</v>
      </c>
      <c r="G41" t="str">
        <f>TRIM(RIGHT(SUBSTITUTE(E41, " ", REPT(" ", 100)), 100))</f>
        <v>700ml</v>
      </c>
      <c r="I41">
        <v>13700</v>
      </c>
      <c r="J41">
        <v>23000</v>
      </c>
      <c r="K41">
        <f>(J41-I41)/J41</f>
        <v>0.4043478261</v>
      </c>
      <c r="N41">
        <v>13700</v>
      </c>
      <c r="O41" t="str">
        <v>생필 12개</v>
      </c>
    </row>
    <row r="42" xml:space="preserve">
      <c r="B42">
        <v>8000548005040</v>
      </c>
      <c r="C42" t="str" xml:space="preserve">
        <f xml:space="preserve">IF(COUNT(L42, M42, N42)=0, "데이터 없음", 
  IF(MIN(L42, M42, N42)=L42, $L$2, 
  IF(MIN(L42, M42, N42)=M42, $M$2, $N$2)))</f>
        <v>부성</v>
      </c>
      <c r="D42">
        <f>IF(COUNT(L42, M42, N42)=0, "", MIN(L42, M42, N42))</f>
        <v>19360</v>
      </c>
      <c r="E42" t="str">
        <v>발비소프라니아스티 750ml</v>
      </c>
      <c r="F42" t="str">
        <f>IFERROR(LEFT(E42, SEARCH("^^", SUBSTITUTE(E42, " ", "^^", LEN(E42)-LEN(SUBSTITUTE(E42, " ", ""))))-1), E42)</f>
        <v>발비소프라니아스티</v>
      </c>
      <c r="G42" t="str">
        <f>TRIM(RIGHT(SUBSTITUTE(E42, " ", REPT(" ", 100)), 100))</f>
        <v>750ml</v>
      </c>
      <c r="I42">
        <f>MIN(L42:M42)</f>
        <v>19360</v>
      </c>
      <c r="J42">
        <v>31000</v>
      </c>
      <c r="K42">
        <f>(J42-I42)/J42</f>
        <v>0.375483871</v>
      </c>
      <c r="L42">
        <v>19360</v>
      </c>
      <c r="M42">
        <v>999999</v>
      </c>
    </row>
    <row r="43" xml:space="preserve">
      <c r="B43" t="str">
        <v>5010106110140</v>
      </c>
      <c r="C43" t="str" xml:space="preserve">
        <f xml:space="preserve">IF(COUNT(L43, M43, N43)=0, "데이터 없음", 
  IF(MIN(L43, M43, N43)=L43, $L$2, 
  IF(MIN(L43, M43, N43)=M43, $M$2, $N$2)))</f>
        <v>생필체인</v>
      </c>
      <c r="D43">
        <f>IF(COUNT(L43, M43, N43)=0, "", MIN(L43, M43, N43))</f>
        <v>95857.3</v>
      </c>
      <c r="E43" t="str">
        <v>발렌타인17년Set 500ml</v>
      </c>
      <c r="F43" t="str">
        <f>IFERROR(LEFT(E43, SEARCH("^^", SUBSTITUTE(E43, " ", "^^", LEN(E43)-LEN(SUBSTITUTE(E43, " ", ""))))-1), E43)</f>
        <v>발렌타인17년Set</v>
      </c>
      <c r="G43" t="str">
        <f>TRIM(RIGHT(SUBSTITUTE(E43, " ", REPT(" ", 100)), 100))</f>
        <v>500ml</v>
      </c>
      <c r="I43">
        <f>87143*1.1</f>
        <v>95857.3</v>
      </c>
      <c r="J43">
        <v>175000</v>
      </c>
      <c r="K43">
        <f>(J43-I43)/J43</f>
        <v>0.452244</v>
      </c>
      <c r="N43">
        <f>87143*1.1</f>
        <v>95857.3</v>
      </c>
    </row>
    <row r="44" xml:space="preserve">
      <c r="B44">
        <v>5000299628652</v>
      </c>
      <c r="C44" t="str" xml:space="preserve">
        <f xml:space="preserve">IF(COUNT(L44, M44, N44)=0, "데이터 없음", 
  IF(MIN(L44, M44, N44)=L44, $L$2, 
  IF(MIN(L44, M44, N44)=M44, $M$2, $N$2)))</f>
        <v>세븐</v>
      </c>
      <c r="D44">
        <f>IF(COUNT(L44, M44, N44)=0, "", MIN(L44, M44, N44))</f>
        <v>9900</v>
      </c>
      <c r="E44" t="str">
        <v>발렌타인10년 200ml</v>
      </c>
      <c r="F44" t="str">
        <f>IFERROR(LEFT(E44, SEARCH("^^", SUBSTITUTE(E44, " ", "^^", LEN(E44)-LEN(SUBSTITUTE(E44, " ", ""))))-1), E44)</f>
        <v>발렌타인10년</v>
      </c>
      <c r="G44" t="str">
        <f>TRIM(RIGHT(SUBSTITUTE(E44, " ", REPT(" ", 100)), 100))</f>
        <v>200ml</v>
      </c>
      <c r="I44">
        <f>MIN(L44:M44)</f>
        <v>9900</v>
      </c>
      <c r="J44">
        <v>16900</v>
      </c>
      <c r="K44">
        <f>(J44-I44)/J44</f>
        <v>0.4142011834</v>
      </c>
      <c r="L44">
        <v>21769</v>
      </c>
      <c r="M44">
        <v>9900</v>
      </c>
      <c r="N44">
        <v>999999</v>
      </c>
      <c r="P44">
        <v>3</v>
      </c>
    </row>
    <row r="45" xml:space="preserve">
      <c r="B45">
        <v>8410024710960</v>
      </c>
      <c r="C45" t="str" xml:space="preserve">
        <f xml:space="preserve">IF(COUNT(L45, M45, N45)=0, "데이터 없음", 
  IF(MIN(L45, M45, N45)=L45, $L$2, 
  IF(MIN(L45, M45, N45)=M45, $M$2, $N$2)))</f>
        <v>부성</v>
      </c>
      <c r="D45">
        <f>IF(COUNT(L45, M45, N45)=0, "", MIN(L45, M45, N45))</f>
        <v>23909</v>
      </c>
      <c r="E45" t="str">
        <v>말리부 700ml</v>
      </c>
      <c r="F45" t="str">
        <f>IFERROR(LEFT(E45, SEARCH("^^", SUBSTITUTE(E45, " ", "^^", LEN(E45)-LEN(SUBSTITUTE(E45, " ", ""))))-1), E45)</f>
        <v>말리부</v>
      </c>
      <c r="G45" t="str">
        <f>TRIM(RIGHT(SUBSTITUTE(E45, " ", REPT(" ", 100)), 100))</f>
        <v>700ml</v>
      </c>
      <c r="I45">
        <f>MIN(L45:M45)</f>
        <v>23909</v>
      </c>
      <c r="J45">
        <v>38000</v>
      </c>
      <c r="K45">
        <f>(J45-I45)/J45</f>
        <v>0.3708157895</v>
      </c>
      <c r="L45">
        <v>23909</v>
      </c>
      <c r="M45">
        <v>999999</v>
      </c>
      <c r="N45">
        <f>130460*1.1/6</f>
        <v>23917.66667</v>
      </c>
      <c r="O45" t="str">
        <v>생필 6개</v>
      </c>
    </row>
    <row r="46" xml:space="preserve">
      <c r="B46" t="str">
        <v xml:space="preserve">089744765857   </v>
      </c>
      <c r="C46" t="str" xml:space="preserve">
        <f xml:space="preserve">IF(COUNT(L46, M46, N46)=0, "데이터 없음", 
  IF(MIN(L46, M46, N46)=L46, $L$2, 
  IF(MIN(L46, M46, N46)=M46, $M$2, $N$2)))</f>
        <v>부성</v>
      </c>
      <c r="D46">
        <f>IF(COUNT(L46, M46, N46)=0, "", MIN(L46, M46, N46))</f>
        <v>9680</v>
      </c>
      <c r="E46" t="str">
        <v>마뱅] 리유니트 피치 모스카토 750ml</v>
      </c>
      <c r="F46" t="str">
        <f>IFERROR(LEFT(E46, SEARCH("^^", SUBSTITUTE(E46, " ", "^^", LEN(E46)-LEN(SUBSTITUTE(E46, " ", ""))))-1), E46)</f>
        <v>마뱅] 리유니트 피치 모스카토</v>
      </c>
      <c r="G46" t="str">
        <f>TRIM(RIGHT(SUBSTITUTE(E46, " ", REPT(" ", 100)), 100))</f>
        <v>750ml</v>
      </c>
      <c r="I46">
        <f>MIN(L46:M46)</f>
        <v>9680</v>
      </c>
      <c r="J46">
        <v>14900</v>
      </c>
      <c r="K46">
        <f>(J46-I46)/J46</f>
        <v>0.3503355705</v>
      </c>
      <c r="L46">
        <v>9680</v>
      </c>
      <c r="M46">
        <v>999999</v>
      </c>
      <c r="R46">
        <v>2</v>
      </c>
    </row>
    <row r="47" xml:space="preserve">
      <c r="B47">
        <v>89744765659</v>
      </c>
      <c r="C47" t="str" xml:space="preserve">
        <f xml:space="preserve">IF(COUNT(L47, M47, N47)=0, "데이터 없음", 
  IF(MIN(L47, M47, N47)=L47, $L$2, 
  IF(MIN(L47, M47, N47)=M47, $M$2, $N$2)))</f>
        <v>부성</v>
      </c>
      <c r="D47">
        <f>IF(COUNT(L47, M47, N47)=0, "", MIN(L47, M47, N47))</f>
        <v>9680</v>
      </c>
      <c r="E47" t="str">
        <v>마뱅] 리유니트 모스카토 750ml</v>
      </c>
      <c r="F47" t="str">
        <f>IFERROR(LEFT(E47, SEARCH("^^", SUBSTITUTE(E47, " ", "^^", LEN(E47)-LEN(SUBSTITUTE(E47, " ", ""))))-1), E47)</f>
        <v>마뱅] 리유니트 모스카토</v>
      </c>
      <c r="G47" t="str">
        <f>TRIM(RIGHT(SUBSTITUTE(E47, " ", REPT(" ", 100)), 100))</f>
        <v>750ml</v>
      </c>
      <c r="I47">
        <f>MIN(L47:M47)</f>
        <v>9680</v>
      </c>
      <c r="J47">
        <v>18000</v>
      </c>
      <c r="K47">
        <f>(J47-I47)/J47</f>
        <v>0.4622222222</v>
      </c>
      <c r="L47">
        <v>9680</v>
      </c>
      <c r="M47">
        <v>999999</v>
      </c>
    </row>
    <row r="48" xml:space="preserve">
      <c r="B48">
        <v>3175529650962</v>
      </c>
      <c r="C48" t="str" xml:space="preserve">
        <f xml:space="preserve">IF(COUNT(L48, M48, N48)=0, "데이터 없음", 
  IF(MIN(L48, M48, N48)=L48, $L$2, 
  IF(MIN(L48, M48, N48)=M48, $M$2, $N$2)))</f>
        <v>세븐</v>
      </c>
      <c r="D48">
        <f>IF(COUNT(L48, M48, N48)=0, "", MIN(L48, M48, N48))</f>
        <v>3182</v>
      </c>
      <c r="E48" t="str">
        <v>로쉐마제 쌩쏘 그르나슈 250ml</v>
      </c>
      <c r="F48" t="str">
        <f>IFERROR(LEFT(E48, SEARCH("^^", SUBSTITUTE(E48, " ", "^^", LEN(E48)-LEN(SUBSTITUTE(E48, " ", ""))))-1), E48)</f>
        <v>로쉐마제 쌩쏘 그르나슈</v>
      </c>
      <c r="G48" t="str">
        <f>TRIM(RIGHT(SUBSTITUTE(E48, " ", REPT(" ", 100)), 100))</f>
        <v>250ml</v>
      </c>
      <c r="H48">
        <v>3</v>
      </c>
      <c r="I48">
        <f>MIN(L48:M48)</f>
        <v>3182</v>
      </c>
      <c r="J48">
        <v>8000</v>
      </c>
      <c r="K48">
        <f>(J48-I48)/J48</f>
        <v>0.60225</v>
      </c>
      <c r="L48">
        <v>5610</v>
      </c>
      <c r="M48">
        <v>3182</v>
      </c>
      <c r="N48">
        <v>999999</v>
      </c>
    </row>
    <row r="49" xml:space="preserve">
      <c r="C49" t="str" xml:space="preserve">
        <f xml:space="preserve">IF(COUNT(L49, M49, N49)=0, "데이터 없음", 
  IF(MIN(L49, M49, N49)=L49, $L$2, 
  IF(MIN(L49, M49, N49)=M49, $M$2, $N$2)))</f>
        <v>생필체인</v>
      </c>
      <c r="D49">
        <f>IF(COUNT(L49, M49, N49)=0, "", MIN(L49, M49, N49))</f>
        <v>10641.95</v>
      </c>
      <c r="E49" t="str">
        <v>디아블로 소비뇽블랑 750ml</v>
      </c>
      <c r="F49" t="str">
        <f>IFERROR(LEFT(E49, SEARCH("^^", SUBSTITUTE(E49, " ", "^^", LEN(E49)-LEN(SUBSTITUTE(E49, " ", ""))))-1), E49)</f>
        <v>디아블로 소비뇽블랑</v>
      </c>
      <c r="G49" t="str">
        <f>TRIM(RIGHT(SUBSTITUTE(E49, " ", REPT(" ", 100)), 100))</f>
        <v>750ml</v>
      </c>
      <c r="K49" t="str">
        <f>(J49-I49)/J49</f>
        <v>#DIV/0!</v>
      </c>
      <c r="N49">
        <f>116094*1.1/12</f>
        <v>10641.95</v>
      </c>
      <c r="O49" t="str">
        <v>생필 12개</v>
      </c>
    </row>
    <row r="50" xml:space="preserve">
      <c r="C50" t="str" xml:space="preserve">
        <f xml:space="preserve">IF(COUNT(L50, M50, N50)=0, "데이터 없음", 
  IF(MIN(L50, M50, N50)=L50, $L$2, 
  IF(MIN(L50, M50, N50)=M50, $M$2, $N$2)))</f>
        <v>생필체인</v>
      </c>
      <c r="D50">
        <f>IF(COUNT(L50, M50, N50)=0, "", MIN(L50, M50, N50))</f>
        <v>10641.95</v>
      </c>
      <c r="E50" t="str">
        <v>디아블로 로제 750ml</v>
      </c>
      <c r="F50" t="str">
        <f>IFERROR(LEFT(E50, SEARCH("^^", SUBSTITUTE(E50, " ", "^^", LEN(E50)-LEN(SUBSTITUTE(E50, " ", ""))))-1), E50)</f>
        <v>디아블로 로제</v>
      </c>
      <c r="G50" t="str">
        <f>TRIM(RIGHT(SUBSTITUTE(E50, " ", REPT(" ", 100)), 100))</f>
        <v>750ml</v>
      </c>
      <c r="K50" t="str">
        <f>(J50-I50)/J50</f>
        <v>#DIV/0!</v>
      </c>
      <c r="N50">
        <f>116094*1.1/12</f>
        <v>10641.95</v>
      </c>
      <c r="O50" t="str">
        <v>생필 12개</v>
      </c>
    </row>
    <row r="51" xml:space="preserve">
      <c r="C51" t="str" xml:space="preserve">
        <f xml:space="preserve">IF(COUNT(L51, M51, N51)=0, "데이터 없음", 
  IF(MIN(L51, M51, N51)=L51, $L$2, 
  IF(MIN(L51, M51, N51)=M51, $M$2, $N$2)))</f>
        <v>생필체인</v>
      </c>
      <c r="D51">
        <f>IF(COUNT(L51, M51, N51)=0, "", MIN(L51, M51, N51))</f>
        <v>10641.95</v>
      </c>
      <c r="E51" t="str">
        <v>디아블로 레드블렌드 750ml</v>
      </c>
      <c r="F51" t="str">
        <f>IFERROR(LEFT(E51, SEARCH("^^", SUBSTITUTE(E51, " ", "^^", LEN(E51)-LEN(SUBSTITUTE(E51, " ", ""))))-1), E51)</f>
        <v>디아블로 레드블렌드</v>
      </c>
      <c r="G51" t="str">
        <f>TRIM(RIGHT(SUBSTITUTE(E51, " ", REPT(" ", 100)), 100))</f>
        <v>750ml</v>
      </c>
      <c r="K51" t="str">
        <f>(J51-I51)/J51</f>
        <v>#DIV/0!</v>
      </c>
      <c r="N51">
        <f>116094*1.1/12</f>
        <v>10641.95</v>
      </c>
      <c r="O51" t="str">
        <v>생필 12개</v>
      </c>
    </row>
    <row r="52" xml:space="preserve">
      <c r="B52">
        <v>8809709252206</v>
      </c>
      <c r="C52" t="str" xml:space="preserve">
        <f xml:space="preserve">IF(COUNT(L52, M52, N52)=0, "데이터 없음", 
  IF(MIN(L52, M52, N52)=L52, $L$2, 
  IF(MIN(L52, M52, N52)=M52, $M$2, $N$2)))</f>
        <v>부성</v>
      </c>
      <c r="D52">
        <f>IF(COUNT(L52, M52, N52)=0, "", MIN(L52, M52, N52))</f>
        <v>45980</v>
      </c>
      <c r="E52" t="str">
        <v>돈나푸가타 앙겔리 750ml</v>
      </c>
      <c r="F52" t="str">
        <f>IFERROR(LEFT(E52, SEARCH("^^", SUBSTITUTE(E52, " ", "^^", LEN(E52)-LEN(SUBSTITUTE(E52, " ", ""))))-1), E52)</f>
        <v>돈나푸가타 앙겔리</v>
      </c>
      <c r="G52" t="str">
        <f>TRIM(RIGHT(SUBSTITUTE(E52, " ", REPT(" ", 100)), 100))</f>
        <v>750ml</v>
      </c>
      <c r="I52">
        <f>MIN(L52:M52)</f>
        <v>45980</v>
      </c>
      <c r="J52">
        <v>64000</v>
      </c>
      <c r="K52">
        <f>(J52-I52)/J52</f>
        <v>0.2815625</v>
      </c>
      <c r="L52">
        <v>45980</v>
      </c>
      <c r="M52">
        <v>999999</v>
      </c>
    </row>
    <row r="53" xml:space="preserve">
      <c r="B53" t="str">
        <v xml:space="preserve">8809726291950  </v>
      </c>
      <c r="C53" t="str" xml:space="preserve">
        <f xml:space="preserve">IF(COUNT(L53, M53, N53)=0, "데이터 없음", 
  IF(MIN(L53, M53, N53)=L53, $L$2, 
  IF(MIN(L53, M53, N53)=M53, $M$2, $N$2)))</f>
        <v>세븐</v>
      </c>
      <c r="D53">
        <f>IF(COUNT(L53, M53, N53)=0, "", MIN(L53, M53, N53))</f>
        <v>999999</v>
      </c>
      <c r="E53" t="str">
        <v>더롱독 로제 187ml</v>
      </c>
      <c r="F53" t="str">
        <f>IFERROR(LEFT(E53, SEARCH("^^", SUBSTITUTE(E53, " ", "^^", LEN(E53)-LEN(SUBSTITUTE(E53, " ", ""))))-1), E53)</f>
        <v>더롱독 로제</v>
      </c>
      <c r="G53" t="str">
        <f>TRIM(RIGHT(SUBSTITUTE(E53, " ", REPT(" ", 100)), 100))</f>
        <v>187ml</v>
      </c>
      <c r="I53">
        <v>4114</v>
      </c>
      <c r="J53">
        <v>7000</v>
      </c>
      <c r="K53">
        <f>(J53-I53)/J53</f>
        <v>0.4122857143</v>
      </c>
      <c r="M53">
        <v>999999</v>
      </c>
      <c r="N53">
        <v>999999</v>
      </c>
    </row>
    <row r="54" xml:space="preserve">
      <c r="B54" t="str">
        <v>8809136182107</v>
      </c>
      <c r="C54" t="str" xml:space="preserve">
        <f xml:space="preserve">IF(COUNT(L54, M54, N54)=0, "데이터 없음", 
  IF(MIN(L54, M54, N54)=L54, $L$2, 
  IF(MIN(L54, M54, N54)=M54, $M$2, $N$2)))</f>
        <v>생필체인</v>
      </c>
      <c r="D54">
        <f>IF(COUNT(L54, M54, N54)=0, "", MIN(L54, M54, N54))</f>
        <v>44990</v>
      </c>
      <c r="E54" t="str">
        <v>골든블루17년Set 450ml</v>
      </c>
      <c r="F54" t="str">
        <f>IFERROR(LEFT(E54, SEARCH("^^", SUBSTITUTE(E54, " ", "^^", LEN(E54)-LEN(SUBSTITUTE(E54, " ", ""))))-1), E54)</f>
        <v>골든블루17년Set</v>
      </c>
      <c r="G54" t="str">
        <f>TRIM(RIGHT(SUBSTITUTE(E54, " ", REPT(" ", 100)), 100))</f>
        <v>450ml</v>
      </c>
      <c r="I54">
        <f>40900*1.1</f>
        <v>44990</v>
      </c>
      <c r="J54">
        <v>115000</v>
      </c>
      <c r="K54">
        <f>(J54-I54)/J54</f>
        <v>0.6087826087</v>
      </c>
      <c r="N54">
        <f>40900*1.1</f>
        <v>44990</v>
      </c>
    </row>
    <row r="55" xml:space="preserve">
      <c r="B55" t="str">
        <v>8801079411108</v>
      </c>
      <c r="C55" t="str" xml:space="preserve">
        <f xml:space="preserve">IF(COUNT(L55, M55, N55)=0, "데이터 없음", 
  IF(MIN(L55, M55, N55)=L55, $L$2, 
  IF(MIN(L55, M55, N55)=M55, $M$2, $N$2)))</f>
        <v>생필체인</v>
      </c>
      <c r="D55">
        <f>IF(COUNT(L55, M55, N55)=0, "", MIN(L55, M55, N55))</f>
        <v>1536.45</v>
      </c>
      <c r="E55" t="str">
        <v>경주법주원컵 200ml</v>
      </c>
      <c r="F55" t="str">
        <f>IFERROR(LEFT(E55, SEARCH("^^", SUBSTITUTE(E55, " ", "^^", LEN(E55)-LEN(SUBSTITUTE(E55, " ", ""))))-1), E55)</f>
        <v>경주법주원컵</v>
      </c>
      <c r="G55" t="str">
        <f>TRIM(RIGHT(SUBSTITUTE(E55, " ", REPT(" ", 100)), 100))</f>
        <v>200ml</v>
      </c>
      <c r="I55">
        <f>30729/20</f>
        <v>1536.45</v>
      </c>
      <c r="J55">
        <v>4000</v>
      </c>
      <c r="K55">
        <f>(J55-I55)/J55</f>
        <v>0.6158875</v>
      </c>
      <c r="N55">
        <f>30729/20</f>
        <v>1536.45</v>
      </c>
      <c r="O55" t="str">
        <v>생필 20개</v>
      </c>
    </row>
    <row r="56" xml:space="preserve">
      <c r="C56" t="str" xml:space="preserve">
        <f xml:space="preserve">IF(COUNT(L56, M56, N56)=0, "데이터 없음", 
  IF(MIN(L56, M56, N56)=L56, $L$2, 
  IF(MIN(L56, M56, N56)=M56, $M$2, $N$2)))</f>
        <v>데이터 없음</v>
      </c>
      <c r="D56" t="str">
        <f>IF(COUNT(L56, M56, N56)=0, "", MIN(L56, M56, N56))</f>
        <v/>
      </c>
      <c r="E56" t="str">
        <v>간바레오또상 300ml</v>
      </c>
      <c r="F56" t="str">
        <f>IFERROR(LEFT(E56, SEARCH("^^", SUBSTITUTE(E56, " ", "^^", LEN(E56)-LEN(SUBSTITUTE(E56, " ", ""))))-1), E56)</f>
        <v>간바레오또상</v>
      </c>
      <c r="G56" t="str">
        <f>TRIM(RIGHT(SUBSTITUTE(E56, " ", REPT(" ", 100)), 100))</f>
        <v>300ml</v>
      </c>
      <c r="H56">
        <v>3</v>
      </c>
      <c r="I56">
        <v>7865</v>
      </c>
      <c r="J56">
        <v>15000</v>
      </c>
      <c r="K56">
        <f>(J56-I56)/J56</f>
        <v>0.4756666667</v>
      </c>
      <c r="P56">
        <v>0</v>
      </c>
    </row>
    <row r="57" xml:space="preserve">
      <c r="C57" t="str" xml:space="preserve">
        <f xml:space="preserve">IF(COUNT(L57, M57, N57)=0, "데이터 없음", 
  IF(MIN(L57, M57, N57)=L57, $L$2, 
  IF(MIN(L57, M57, N57)=M57, $M$2, $N$2)))</f>
        <v>세븐</v>
      </c>
      <c r="D57">
        <f>IF(COUNT(L57, M57, N57)=0, "", MIN(L57, M57, N57))</f>
        <v>12670</v>
      </c>
      <c r="E57" t="str">
        <v>간바레오또상 900ml</v>
      </c>
      <c r="F57" t="str">
        <f>IFERROR(LEFT(E57, SEARCH("^^", SUBSTITUTE(E57, " ", "^^", LEN(E57)-LEN(SUBSTITUTE(E57, " ", ""))))-1), E57)</f>
        <v>간바레오또상</v>
      </c>
      <c r="G57" t="str">
        <f>TRIM(RIGHT(SUBSTITUTE(E57, " ", REPT(" ", 100)), 100))</f>
        <v>900ml</v>
      </c>
      <c r="I57">
        <v>12670</v>
      </c>
      <c r="J57">
        <v>25000</v>
      </c>
      <c r="K57">
        <f>(J57-I57)/J57</f>
        <v>0.4932</v>
      </c>
      <c r="M57">
        <v>12670</v>
      </c>
      <c r="N57">
        <v>16100</v>
      </c>
      <c r="P57">
        <v>8</v>
      </c>
    </row>
    <row r="58" xml:space="preserve">
      <c r="B58">
        <v>8806142702831</v>
      </c>
      <c r="C58" t="str" xml:space="preserve">
        <f xml:space="preserve">IF(COUNT(L58, M58, N58)=0, "데이터 없음", 
  IF(MIN(L58, M58, N58)=L58, $L$2, 
  IF(MIN(L58, M58, N58)=M58, $M$2, $N$2)))</f>
        <v>세븐</v>
      </c>
      <c r="D58">
        <f>IF(COUNT(L58, M58, N58)=0, "", MIN(L58, M58, N58))</f>
        <v>8534</v>
      </c>
      <c r="E58" t="str">
        <v>7]디아블로 카베르네 소비뇽 750ml</v>
      </c>
      <c r="F58" t="str">
        <f>IFERROR(LEFT(E58, SEARCH("^^", SUBSTITUTE(E58, " ", "^^", LEN(E58)-LEN(SUBSTITUTE(E58, " ", ""))))-1), E58)</f>
        <v>7]디아블로 카베르네 소비뇽</v>
      </c>
      <c r="G58" t="str">
        <f>TRIM(RIGHT(SUBSTITUTE(E58, " ", REPT(" ", 100)), 100))</f>
        <v>750ml</v>
      </c>
      <c r="H58">
        <v>1</v>
      </c>
      <c r="I58">
        <f>MIN(L58:M58)</f>
        <v>8534</v>
      </c>
      <c r="J58">
        <v>24000</v>
      </c>
      <c r="K58">
        <f>(J58-I58)/J58</f>
        <v>0.6444166667</v>
      </c>
      <c r="L58">
        <v>11341</v>
      </c>
      <c r="M58">
        <v>8534</v>
      </c>
      <c r="P58">
        <v>2</v>
      </c>
    </row>
    <row r="61">
      <c r="B61" t="str">
        <v>부성 주문</v>
      </c>
    </row>
    <row r="62">
      <c r="B62" t="str">
        <v>바코드</v>
      </c>
      <c r="E62" t="str">
        <v>품목</v>
      </c>
      <c r="H62" t="str">
        <v>수량</v>
      </c>
    </row>
    <row r="63">
      <c r="J63">
        <v>12</v>
      </c>
    </row>
    <row r="76">
      <c r="B76" t="str">
        <v>세븐 주문</v>
      </c>
    </row>
    <row r="77">
      <c r="B77" t="str">
        <v>바코드</v>
      </c>
      <c r="E77" t="str">
        <v>품목</v>
      </c>
      <c r="H77" t="str">
        <v>수량</v>
      </c>
    </row>
  </sheetData>
  <autoFilter ref="$B$2:$N$58"/>
  <ignoredErrors>
    <ignoredError numberStoredAsText="1" sqref="B1:S10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P1005"/>
  <sheetViews>
    <sheetView workbookViewId="0"/>
  </sheetViews>
  <sheetData>
    <row r="1">
      <c r="L1" t="str">
        <v>박스 매입</v>
      </c>
      <c r="P1" t="str">
        <v>999999은 미판매</v>
      </c>
    </row>
    <row r="2">
      <c r="B2" t="str">
        <v>코드</v>
      </c>
      <c r="C2" t="str">
        <v>선정 업체</v>
      </c>
      <c r="D2" t="str">
        <v>선정 가격</v>
      </c>
      <c r="E2" t="str">
        <v>품명</v>
      </c>
      <c r="F2" t="str">
        <v>제품 명</v>
      </c>
      <c r="G2" t="str">
        <v>용량</v>
      </c>
      <c r="H2" t="str">
        <v>수량</v>
      </c>
      <c r="I2" t="str">
        <v>매입가</v>
      </c>
      <c r="J2" t="str">
        <v>판매가</v>
      </c>
      <c r="K2" t="str">
        <v>수익율</v>
      </c>
      <c r="L2" t="str">
        <v>부성</v>
      </c>
      <c r="M2" t="str">
        <v>세븐</v>
      </c>
      <c r="N2" t="str">
        <v>생필체인</v>
      </c>
      <c r="O2" t="str">
        <v>최소 발주 수량</v>
      </c>
    </row>
    <row r="3" xml:space="preserve">
      <c r="B3" t="str">
        <v xml:space="preserve">8809267520809  </v>
      </c>
      <c r="C3" t="str" xml:space="preserve">
        <f xml:space="preserve">IF(COUNT(L3, M3, N3)=0, "데이터 없음", 
  IF(MIN(L3, M3, N3)=L3, $L$2, 
  IF(MIN(L3, M3, N3)=M3, $M$2, $N$2)))</f>
        <v>데이터 없음</v>
      </c>
      <c r="D3" t="str">
        <f>IF(COUNT(L3, M3, N3)=0, "", MIN(L3, M3, N3))</f>
        <v/>
      </c>
      <c r="E3" t="str">
        <v>G7 샤르도네 750ml</v>
      </c>
      <c r="F3" t="str">
        <f>IFERROR(LEFT(E3, SEARCH("^^", SUBSTITUTE(E3, " ", "^^", LEN(E3)-LEN(SUBSTITUTE(E3, " ", ""))))-1), E3)</f>
        <v>G7 샤르도네</v>
      </c>
      <c r="G3" t="str">
        <f>TRIM(RIGHT(SUBSTITUTE(E3, " ", REPT(" ", 100)), 100))</f>
        <v>750ml</v>
      </c>
      <c r="I3">
        <v>7018</v>
      </c>
      <c r="J3">
        <v>18000</v>
      </c>
      <c r="K3">
        <f>(J3-I3)/J3</f>
        <v>0.6101111111</v>
      </c>
    </row>
    <row r="4" xml:space="preserve">
      <c r="B4">
        <v>8809267520793</v>
      </c>
      <c r="C4" t="str" xml:space="preserve">
        <f xml:space="preserve">IF(COUNT(L4, M4, N4)=0, "데이터 없음", 
  IF(MIN(L4, M4, N4)=L4, $L$2, 
  IF(MIN(L4, M4, N4)=M4, $M$2, $N$2)))</f>
        <v>세븐</v>
      </c>
      <c r="D4">
        <f>IF(COUNT(L4, M4, N4)=0, "", MIN(L4, M4, N4))</f>
        <v>5350</v>
      </c>
      <c r="E4" t="str">
        <v>G7 까베르네 소비뇽 750ml</v>
      </c>
      <c r="F4" t="str">
        <f>IFERROR(LEFT(E4, SEARCH("^^", SUBSTITUTE(E4, " ", "^^", LEN(E4)-LEN(SUBSTITUTE(E4, " ", ""))))-1), E4)</f>
        <v>G7 까베르네 소비뇽</v>
      </c>
      <c r="G4" t="str">
        <f>TRIM(RIGHT(SUBSTITUTE(E4, " ", REPT(" ", 100)), 100))</f>
        <v>750ml</v>
      </c>
      <c r="I4">
        <f>MIN(L4:M4)</f>
        <v>5350</v>
      </c>
      <c r="J4">
        <v>18000</v>
      </c>
      <c r="K4">
        <f>(J4-I4)/J4</f>
        <v>0.7027777778</v>
      </c>
      <c r="L4">
        <v>7260</v>
      </c>
      <c r="M4">
        <v>5350</v>
      </c>
    </row>
    <row r="5" xml:space="preserve">
      <c r="B5">
        <v>8004385028620</v>
      </c>
      <c r="C5" t="str" xml:space="preserve">
        <f xml:space="preserve">IF(COUNT(L5, M5, N5)=0, "데이터 없음", 
  IF(MIN(L5, M5, N5)=L5, $L$2, 
  IF(MIN(L5, M5, N5)=M5, $M$2, $N$2)))</f>
        <v>부성</v>
      </c>
      <c r="D5">
        <f>IF(COUNT(L5, M5, N5)=0, "", MIN(L5, M5, N5))</f>
        <v>18513</v>
      </c>
      <c r="E5" t="str">
        <v>BS)빌라욜란다 모스카토 로제 750ml</v>
      </c>
      <c r="F5" t="str">
        <f>IFERROR(LEFT(E5, SEARCH("^^", SUBSTITUTE(E5, " ", "^^", LEN(E5)-LEN(SUBSTITUTE(E5, " ", ""))))-1), E5)</f>
        <v>BS)빌라욜란다 모스카토 로제</v>
      </c>
      <c r="G5" t="str">
        <f>TRIM(RIGHT(SUBSTITUTE(E5, " ", REPT(" ", 100)), 100))</f>
        <v>750ml</v>
      </c>
      <c r="I5">
        <f>MIN(L5:M5)</f>
        <v>18513</v>
      </c>
      <c r="J5">
        <v>29000</v>
      </c>
      <c r="K5">
        <f>(J5-I5)/J5</f>
        <v>0.3616206897</v>
      </c>
      <c r="L5">
        <v>18513</v>
      </c>
      <c r="M5">
        <v>999999</v>
      </c>
    </row>
    <row r="6" xml:space="preserve">
      <c r="B6" t="str">
        <v xml:space="preserve">3566921002990  </v>
      </c>
      <c r="C6" t="str" xml:space="preserve">
        <f xml:space="preserve">IF(COUNT(L6, M6, N6)=0, "데이터 없음", 
  IF(MIN(L6, M6, N6)=L6, $L$2, 
  IF(MIN(L6, M6, N6)=M6, $M$2, $N$2)))</f>
        <v>부성</v>
      </c>
      <c r="D6">
        <f>IF(COUNT(L6, M6, N6)=0, "", MIN(L6, M6, N6))</f>
        <v>40112</v>
      </c>
      <c r="E6" t="str">
        <v>BS)루이라뚜르 피노누아 레피에르 도레 750m</v>
      </c>
      <c r="F6" t="str">
        <f>IFERROR(LEFT(E6, SEARCH("^^", SUBSTITUTE(E6, " ", "^^", LEN(E6)-LEN(SUBSTITUTE(E6, " ", ""))))-1), E6)</f>
        <v>BS)루이라뚜르 피노누아 레피에르 도레</v>
      </c>
      <c r="G6" t="str">
        <f>TRIM(RIGHT(SUBSTITUTE(E6, " ", REPT(" ", 100)), 100))</f>
        <v>750m</v>
      </c>
      <c r="I6">
        <f>MIN(L6:M6)</f>
        <v>40112</v>
      </c>
      <c r="J6">
        <v>62000</v>
      </c>
      <c r="K6">
        <f>(J6-I6)/J6</f>
        <v>0.3530322581</v>
      </c>
      <c r="L6">
        <v>40112</v>
      </c>
      <c r="M6">
        <v>999999</v>
      </c>
    </row>
    <row r="7" xml:space="preserve">
      <c r="B7">
        <v>7804320561431</v>
      </c>
      <c r="C7" t="str" xml:space="preserve">
        <f xml:space="preserve">IF(COUNT(L7, M7, N7)=0, "데이터 없음", 
  IF(MIN(L7, M7, N7)=L7, $L$2, 
  IF(MIN(L7, M7, N7)=M7, $M$2, $N$2)))</f>
        <v>부성</v>
      </c>
      <c r="D7">
        <f>IF(COUNT(L7, M7, N7)=0, "", MIN(L7, M7, N7))</f>
        <v>17666</v>
      </c>
      <c r="E7" t="str">
        <v>BS)디아블로 데블스 콜렉션 750ml</v>
      </c>
      <c r="F7" t="str">
        <f>IFERROR(LEFT(E7, SEARCH("^^", SUBSTITUTE(E7, " ", "^^", LEN(E7)-LEN(SUBSTITUTE(E7, " ", ""))))-1), E7)</f>
        <v>BS)디아블로 데블스 콜렉션</v>
      </c>
      <c r="G7" t="str">
        <f>TRIM(RIGHT(SUBSTITUTE(E7, " ", REPT(" ", 100)), 100))</f>
        <v>750ml</v>
      </c>
      <c r="H7">
        <v>3</v>
      </c>
      <c r="I7">
        <f>MIN(L7:M7)</f>
        <v>17666</v>
      </c>
      <c r="J7">
        <v>29000</v>
      </c>
      <c r="K7">
        <f>(J7-I7)/J7</f>
        <v>0.3908275862</v>
      </c>
      <c r="L7">
        <v>17666</v>
      </c>
    </row>
    <row r="8" xml:space="preserve">
      <c r="C8" t="str" xml:space="preserve">
        <f xml:space="preserve">IF(COUNT(L8, M8, N8)=0, "데이터 없음", 
  IF(MIN(L8, M8, N8)=L8, $L$2, 
  IF(MIN(L8, M8, N8)=M8, $M$2, $N$2)))</f>
        <v>부성</v>
      </c>
      <c r="D8">
        <f>IF(COUNT(L8, M8, N8)=0, "", MIN(L8, M8, N8))</f>
        <v>15125</v>
      </c>
      <c r="E8" t="str">
        <v>BS) 킴 크로포드 말보로 쇼비뇽 블랑 375ml</v>
      </c>
      <c r="F8" t="str">
        <f>IFERROR(LEFT(E8, SEARCH("^^", SUBSTITUTE(E8, " ", "^^", LEN(E8)-LEN(SUBSTITUTE(E8, " ", ""))))-1), E8)</f>
        <v>BS) 킴 크로포드 말보로 쇼비뇽 블랑</v>
      </c>
      <c r="G8" t="str">
        <f>TRIM(RIGHT(SUBSTITUTE(E8, " ", REPT(" ", 100)), 100))</f>
        <v>375ml</v>
      </c>
      <c r="H8">
        <v>3</v>
      </c>
      <c r="I8">
        <v>15125</v>
      </c>
      <c r="J8">
        <v>29000</v>
      </c>
      <c r="K8">
        <f>(J8-I8)/J8</f>
        <v>0.4784482759</v>
      </c>
      <c r="L8">
        <v>15125</v>
      </c>
      <c r="M8">
        <v>999999</v>
      </c>
    </row>
    <row r="9" xml:space="preserve">
      <c r="B9">
        <v>689352009925</v>
      </c>
      <c r="C9" t="str" xml:space="preserve">
        <f xml:space="preserve">IF(COUNT(L9, M9, N9)=0, "데이터 없음", 
  IF(MIN(L9, M9, N9)=L9, $L$2, 
  IF(MIN(L9, M9, N9)=M9, $M$2, $N$2)))</f>
        <v>부성</v>
      </c>
      <c r="D9">
        <f>IF(COUNT(L9, M9, N9)=0, "", MIN(L9, M9, N9))</f>
        <v>27588</v>
      </c>
      <c r="E9" t="str">
        <v>BS) 킴 크로포드 말보로 쇼비뇽 블랑 750ml</v>
      </c>
      <c r="F9" t="str">
        <f>IFERROR(LEFT(E9, SEARCH("^^", SUBSTITUTE(E9, " ", "^^", LEN(E9)-LEN(SUBSTITUTE(E9, " ", ""))))-1), E9)</f>
        <v>BS) 킴 크로포드 말보로 쇼비뇽 블랑</v>
      </c>
      <c r="G9" t="str">
        <f>TRIM(RIGHT(SUBSTITUTE(E9, " ", REPT(" ", 100)), 100))</f>
        <v>750ml</v>
      </c>
      <c r="H9">
        <v>4</v>
      </c>
      <c r="I9">
        <f>MIN(L9:M9)</f>
        <v>27588</v>
      </c>
      <c r="J9">
        <v>43000</v>
      </c>
      <c r="K9">
        <f>(J9-I9)/J9</f>
        <v>0.3584186047</v>
      </c>
      <c r="L9">
        <v>27588</v>
      </c>
      <c r="M9">
        <v>999999</v>
      </c>
    </row>
    <row r="10" xml:space="preserve">
      <c r="B10">
        <v>4058222100400</v>
      </c>
      <c r="C10" t="str" xml:space="preserve">
        <f xml:space="preserve">IF(COUNT(L10, M10, N10)=0, "데이터 없음", 
  IF(MIN(L10, M10, N10)=L10, $L$2, 
  IF(MIN(L10, M10, N10)=M10, $M$2, $N$2)))</f>
        <v>부성</v>
      </c>
      <c r="D10">
        <f>IF(COUNT(L10, M10, N10)=0, "", MIN(L10, M10, N10))</f>
        <v>9680</v>
      </c>
      <c r="E10" t="str">
        <v>BS 인디] 로트 캡션 로제 샴페인 750ml</v>
      </c>
      <c r="F10" t="str">
        <f>IFERROR(LEFT(E10, SEARCH("^^", SUBSTITUTE(E10, " ", "^^", LEN(E10)-LEN(SUBSTITUTE(E10, " ", ""))))-1), E10)</f>
        <v>BS 인디] 로트 캡션 로제 샴페인</v>
      </c>
      <c r="G10" t="str">
        <f>TRIM(RIGHT(SUBSTITUTE(E10, " ", REPT(" ", 100)), 100))</f>
        <v>750ml</v>
      </c>
      <c r="H10">
        <v>1</v>
      </c>
      <c r="I10">
        <f>MIN(L10:M10)</f>
        <v>9680</v>
      </c>
      <c r="J10">
        <v>19000</v>
      </c>
      <c r="K10">
        <f>(J10-I10)/J10</f>
        <v>0.4905263158</v>
      </c>
      <c r="L10">
        <v>9680</v>
      </c>
      <c r="M10">
        <v>999999</v>
      </c>
    </row>
    <row r="11" xml:space="preserve">
      <c r="C11" t="str" xml:space="preserve">
        <f xml:space="preserve">IF(COUNT(L11, M11, N11)=0, "데이터 없음", 
  IF(MIN(L11, M11, N11)=L11, $L$2, 
  IF(MIN(L11, M11, N11)=M11, $M$2, $N$2)))</f>
        <v>부성</v>
      </c>
      <c r="D11">
        <f>IF(COUNT(L11, M11, N11)=0, "", MIN(L11, M11, N11))</f>
        <v>9680</v>
      </c>
      <c r="E11" t="str">
        <v>BS 인디] 로트 캡션 뀌베 브뤼 750ml</v>
      </c>
      <c r="F11" t="str">
        <f>IFERROR(LEFT(E11, SEARCH("^^", SUBSTITUTE(E11, " ", "^^", LEN(E11)-LEN(SUBSTITUTE(E11, " ", ""))))-1), E11)</f>
        <v>BS 인디] 로트 캡션 뀌베 브뤼</v>
      </c>
      <c r="G11" t="str">
        <f>TRIM(RIGHT(SUBSTITUTE(E11, " ", REPT(" ", 100)), 100))</f>
        <v>750ml</v>
      </c>
      <c r="H11">
        <v>1</v>
      </c>
      <c r="I11">
        <v>9933</v>
      </c>
      <c r="J11">
        <v>19000</v>
      </c>
      <c r="K11">
        <f>(J11-I11)/J11</f>
        <v>0.4772105263</v>
      </c>
      <c r="L11">
        <v>9680</v>
      </c>
      <c r="M11">
        <v>999999</v>
      </c>
    </row>
    <row r="12" xml:space="preserve">
      <c r="B12">
        <v>8809158901526</v>
      </c>
      <c r="C12" t="str" xml:space="preserve">
        <f xml:space="preserve">IF(COUNT(L12, M12, N12)=0, "데이터 없음", 
  IF(MIN(L12, M12, N12)=L12, $L$2, 
  IF(MIN(L12, M12, N12)=M12, $M$2, $N$2)))</f>
        <v>부성</v>
      </c>
      <c r="D12">
        <f>IF(COUNT(L12, M12, N12)=0, "", MIN(L12, M12, N12))</f>
        <v>17600</v>
      </c>
      <c r="E12" t="str">
        <v>화요41 375ml</v>
      </c>
      <c r="F12" t="str">
        <f>IFERROR(LEFT(E12, SEARCH("^^", SUBSTITUTE(E12, " ", "^^", LEN(E12)-LEN(SUBSTITUTE(E12, " ", ""))))-1), E12)</f>
        <v>화요41</v>
      </c>
      <c r="G12" t="str">
        <f>TRIM(RIGHT(SUBSTITUTE(E12, " ", REPT(" ", 100)), 100))</f>
        <v>375ml</v>
      </c>
      <c r="I12">
        <f>MIN(L12:M12)</f>
        <v>17600</v>
      </c>
      <c r="J12">
        <v>31000</v>
      </c>
      <c r="K12">
        <f>(J12-I12)/J12</f>
        <v>0.4322580645</v>
      </c>
      <c r="L12">
        <v>17600</v>
      </c>
    </row>
    <row r="13" xml:space="preserve">
      <c r="B13">
        <v>8809158902424</v>
      </c>
      <c r="C13" t="str" xml:space="preserve">
        <f xml:space="preserve">IF(COUNT(L13, M13, N13)=0, "데이터 없음", 
  IF(MIN(L13, M13, N13)=L13, $L$2, 
  IF(MIN(L13, M13, N13)=M13, $M$2, $N$2)))</f>
        <v>세븐</v>
      </c>
      <c r="D13">
        <f>IF(COUNT(L13, M13, N13)=0, "", MIN(L13, M13, N13))</f>
        <v>8100</v>
      </c>
      <c r="E13" t="str">
        <v>화요25 375ml</v>
      </c>
      <c r="F13" t="str">
        <f>IFERROR(LEFT(E13, SEARCH("^^", SUBSTITUTE(E13, " ", "^^", LEN(E13)-LEN(SUBSTITUTE(E13, " ", ""))))-1), E13)</f>
        <v>화요25</v>
      </c>
      <c r="G13" t="str">
        <f>TRIM(RIGHT(SUBSTITUTE(E13, " ", REPT(" ", 100)), 100))</f>
        <v>375ml</v>
      </c>
      <c r="H13">
        <v>3</v>
      </c>
      <c r="I13">
        <f>MIN(L13:M13)</f>
        <v>8100</v>
      </c>
      <c r="J13">
        <v>18000</v>
      </c>
      <c r="K13">
        <f>(J13-I13)/J13</f>
        <v>0.55</v>
      </c>
      <c r="L13">
        <v>8910</v>
      </c>
      <c r="M13">
        <v>8100</v>
      </c>
      <c r="N13">
        <f>49091*1.1/6</f>
        <v>9000.016667</v>
      </c>
    </row>
    <row r="14" xml:space="preserve">
      <c r="C14" t="str" xml:space="preserve">
        <f xml:space="preserve">IF(COUNT(L14, M14, N14)=0, "데이터 없음", 
  IF(MIN(L14, M14, N14)=L14, $L$2, 
  IF(MIN(L14, M14, N14)=M14, $M$2, $N$2)))</f>
        <v>생필체인</v>
      </c>
      <c r="D14">
        <f>IF(COUNT(L14, M14, N14)=0, "", MIN(L14, M14, N14))</f>
        <v>9000</v>
      </c>
      <c r="E14" t="str">
        <v>화요 19금 375ml</v>
      </c>
      <c r="F14" t="str">
        <f>IFERROR(LEFT(E14, SEARCH("^^", SUBSTITUTE(E14, " ", "^^", LEN(E14)-LEN(SUBSTITUTE(E14, " ", ""))))-1), E14)</f>
        <v>화요 19금</v>
      </c>
      <c r="G14" t="str">
        <f>TRIM(RIGHT(SUBSTITUTE(E14, " ", REPT(" ", 100)), 100))</f>
        <v>375ml</v>
      </c>
      <c r="H14">
        <v>6</v>
      </c>
      <c r="I14">
        <v>8350</v>
      </c>
      <c r="J14">
        <v>14000</v>
      </c>
      <c r="K14">
        <f>(J14-I14)/J14</f>
        <v>0.4035714286</v>
      </c>
      <c r="N14">
        <v>9000</v>
      </c>
      <c r="O14" t="str">
        <v>생필 6개</v>
      </c>
    </row>
    <row r="15" xml:space="preserve">
      <c r="B15">
        <v>8809380368098</v>
      </c>
      <c r="C15" t="str" xml:space="preserve">
        <f xml:space="preserve">IF(COUNT(L15, M15, N15)=0, "데이터 없음", 
  IF(MIN(L15, M15, N15)=L15, $L$2, 
  IF(MIN(L15, M15, N15)=M15, $M$2, $N$2)))</f>
        <v>세븐</v>
      </c>
      <c r="D15">
        <f>IF(COUNT(L15, M15, N15)=0, "", MIN(L15, M15, N15))</f>
        <v>41000</v>
      </c>
      <c r="E15" t="str">
        <v>텍스트북 나파 까.쇼750ml</v>
      </c>
      <c r="F15" t="str">
        <f>IFERROR(LEFT(E15, SEARCH("^^", SUBSTITUTE(E15, " ", "^^", LEN(E15)-LEN(SUBSTITUTE(E15, " ", ""))))-1), E15)</f>
        <v>텍스트북 나파</v>
      </c>
      <c r="G15" t="str">
        <f>TRIM(RIGHT(SUBSTITUTE(E15, " ", REPT(" ", 100)), 100))</f>
        <v>까.쇼750ml</v>
      </c>
      <c r="H15">
        <v>2</v>
      </c>
      <c r="I15">
        <f>MIN(L15:M15)</f>
        <v>41000</v>
      </c>
      <c r="J15">
        <v>78000</v>
      </c>
      <c r="K15">
        <f>(J15-I15)/J15</f>
        <v>0.4743589744</v>
      </c>
      <c r="L15">
        <v>56100</v>
      </c>
      <c r="M15">
        <v>41000</v>
      </c>
      <c r="N15">
        <v>999999</v>
      </c>
    </row>
    <row r="16" xml:space="preserve">
      <c r="B16">
        <v>9348423000261</v>
      </c>
      <c r="C16" t="str" xml:space="preserve">
        <f xml:space="preserve">IF(COUNT(L16, M16, N16)=0, "데이터 없음", 
  IF(MIN(L16, M16, N16)=L16, $L$2, 
  IF(MIN(L16, M16, N16)=M16, $M$2, $N$2)))</f>
        <v>세븐</v>
      </c>
      <c r="D16">
        <f>IF(COUNT(L16, M16, N16)=0, "", MIN(L16, M16, N16))</f>
        <v>2800</v>
      </c>
      <c r="E16" t="str">
        <v>타임]와인글라스 카버네 187ml</v>
      </c>
      <c r="F16" t="str">
        <f>IFERROR(LEFT(E16, SEARCH("^^", SUBSTITUTE(E16, " ", "^^", LEN(E16)-LEN(SUBSTITUTE(E16, " ", ""))))-1), E16)</f>
        <v>타임]와인글라스 카버네</v>
      </c>
      <c r="G16" t="str">
        <f>TRIM(RIGHT(SUBSTITUTE(E16, " ", REPT(" ", 100)), 100))</f>
        <v>187ml</v>
      </c>
      <c r="H16">
        <v>4</v>
      </c>
      <c r="I16">
        <v>2800</v>
      </c>
      <c r="J16">
        <v>6200</v>
      </c>
      <c r="K16">
        <f>(J16-I16)/J16</f>
        <v>0.5483870968</v>
      </c>
      <c r="M16">
        <v>2800</v>
      </c>
    </row>
    <row r="17" xml:space="preserve">
      <c r="B17">
        <v>9348423000261</v>
      </c>
      <c r="C17" t="str" xml:space="preserve">
        <f xml:space="preserve">IF(COUNT(L17, M17, N17)=0, "데이터 없음", 
  IF(MIN(L17, M17, N17)=L17, $L$2, 
  IF(MIN(L17, M17, N17)=M17, $M$2, $N$2)))</f>
        <v>세븐</v>
      </c>
      <c r="D17">
        <f>IF(COUNT(L17, M17, N17)=0, "", MIN(L17, M17, N17))</f>
        <v>2800</v>
      </c>
      <c r="E17" t="str">
        <v>타임]와인글라스 모스카토 187ml</v>
      </c>
      <c r="F17" t="str">
        <f>IFERROR(LEFT(E17, SEARCH("^^", SUBSTITUTE(E17, " ", "^^", LEN(E17)-LEN(SUBSTITUTE(E17, " ", ""))))-1), E17)</f>
        <v>타임]와인글라스 모스카토</v>
      </c>
      <c r="G17" t="str">
        <f>TRIM(RIGHT(SUBSTITUTE(E17, " ", REPT(" ", 100)), 100))</f>
        <v>187ml</v>
      </c>
      <c r="H17">
        <v>4</v>
      </c>
      <c r="I17">
        <v>2800</v>
      </c>
      <c r="J17">
        <v>6200</v>
      </c>
      <c r="K17">
        <f>(J17-I17)/J17</f>
        <v>0.5483870968</v>
      </c>
      <c r="M17">
        <v>2800</v>
      </c>
    </row>
    <row r="18" xml:space="preserve">
      <c r="B18">
        <v>5000267025209</v>
      </c>
      <c r="C18" t="str" xml:space="preserve">
        <f xml:space="preserve">IF(COUNT(L18, M18, N18)=0, "데이터 없음", 
  IF(MIN(L18, M18, N18)=L18, $L$2, 
  IF(MIN(L18, M18, N18)=M18, $M$2, $N$2)))</f>
        <v>세븐</v>
      </c>
      <c r="D18">
        <f>IF(COUNT(L18, M18, N18)=0, "", MIN(L18, M18, N18))</f>
        <v>12420</v>
      </c>
      <c r="E18" t="str">
        <v>조니워커 블랙 라벨 200ml</v>
      </c>
      <c r="F18" t="str">
        <f>IFERROR(LEFT(E18, SEARCH("^^", SUBSTITUTE(E18, " ", "^^", LEN(E18)-LEN(SUBSTITUTE(E18, " ", ""))))-1), E18)</f>
        <v>조니워커 블랙 라벨</v>
      </c>
      <c r="G18" t="str">
        <f>TRIM(RIGHT(SUBSTITUTE(E18, " ", REPT(" ", 100)), 100))</f>
        <v>200ml</v>
      </c>
      <c r="I18">
        <f>MIN(L18:M18)</f>
        <v>12420</v>
      </c>
      <c r="J18">
        <v>19900</v>
      </c>
      <c r="K18">
        <f>(J18-I18)/J18</f>
        <v>0.375879397</v>
      </c>
      <c r="L18">
        <v>13662</v>
      </c>
      <c r="M18">
        <v>12420</v>
      </c>
      <c r="N18">
        <v>999999</v>
      </c>
    </row>
    <row r="19" xml:space="preserve">
      <c r="B19">
        <v>5000267014401</v>
      </c>
      <c r="C19" t="str" xml:space="preserve">
        <f xml:space="preserve">IF(COUNT(L19, M19, N19)=0, "데이터 없음", 
  IF(MIN(L19, M19, N19)=L19, $L$2, 
  IF(MIN(L19, M19, N19)=M19, $M$2, $N$2)))</f>
        <v>세븐</v>
      </c>
      <c r="D19">
        <f>IF(COUNT(L19, M19, N19)=0, "", MIN(L19, M19, N19))</f>
        <v>20090</v>
      </c>
      <c r="E19" t="str">
        <v>조니워커 레드라벨 500ml</v>
      </c>
      <c r="F19" t="str">
        <f>IFERROR(LEFT(E19, SEARCH("^^", SUBSTITUTE(E19, " ", "^^", LEN(E19)-LEN(SUBSTITUTE(E19, " ", ""))))-1), E19)</f>
        <v>조니워커 레드라벨</v>
      </c>
      <c r="G19" t="str">
        <f>TRIM(RIGHT(SUBSTITUTE(E19, " ", REPT(" ", 100)), 100))</f>
        <v>500ml</v>
      </c>
      <c r="I19">
        <f>MIN(L19:M19)</f>
        <v>20090</v>
      </c>
      <c r="J19">
        <v>32500</v>
      </c>
      <c r="K19">
        <f>(J19-I19)/J19</f>
        <v>0.3818461538</v>
      </c>
      <c r="L19">
        <v>22099</v>
      </c>
      <c r="M19">
        <v>20090</v>
      </c>
      <c r="O19" t="str">
        <v>생필 12개</v>
      </c>
    </row>
    <row r="20" xml:space="preserve">
      <c r="B20">
        <v>5000267015200</v>
      </c>
      <c r="C20" t="str" xml:space="preserve">
        <f xml:space="preserve">IF(COUNT(L20, M20, N20)=0, "데이터 없음", 
  IF(MIN(L20, M20, N20)=L20, $L$2, 
  IF(MIN(L20, M20, N20)=M20, $M$2, $N$2)))</f>
        <v>세븐</v>
      </c>
      <c r="D20">
        <f>IF(COUNT(L20, M20, N20)=0, "", MIN(L20, M20, N20))</f>
        <v>7740</v>
      </c>
      <c r="E20" t="str">
        <v>조니워커 레드 라벨 200ml</v>
      </c>
      <c r="F20" t="str">
        <f>IFERROR(LEFT(E20, SEARCH("^^", SUBSTITUTE(E20, " ", "^^", LEN(E20)-LEN(SUBSTITUTE(E20, " ", ""))))-1), E20)</f>
        <v>조니워커 레드 라벨</v>
      </c>
      <c r="G20" t="str">
        <f>TRIM(RIGHT(SUBSTITUTE(E20, " ", REPT(" ", 100)), 100))</f>
        <v>200ml</v>
      </c>
      <c r="I20">
        <f>MIN(L20:M20)</f>
        <v>7740</v>
      </c>
      <c r="J20">
        <v>12900</v>
      </c>
      <c r="K20">
        <f>(J20-I20)/J20</f>
        <v>0.4</v>
      </c>
      <c r="L20">
        <v>8514</v>
      </c>
      <c r="M20">
        <v>7740</v>
      </c>
      <c r="N20">
        <v>999999</v>
      </c>
    </row>
    <row r="21" xml:space="preserve">
      <c r="B21">
        <v>5099873060711</v>
      </c>
      <c r="C21" t="str" xml:space="preserve">
        <f xml:space="preserve">IF(COUNT(L21, M21, N21)=0, "데이터 없음", 
  IF(MIN(L21, M21, N21)=L21, $L$2, 
  IF(MIN(L21, M21, N21)=M21, $M$2, $N$2)))</f>
        <v>세븐</v>
      </c>
      <c r="D21">
        <f>IF(COUNT(L21, M21, N21)=0, "", MIN(L21, M21, N21))</f>
        <v>9800</v>
      </c>
      <c r="E21" t="str">
        <v>잭다니엘스 허니 200ml</v>
      </c>
      <c r="F21" t="str">
        <f>IFERROR(LEFT(E21, SEARCH("^^", SUBSTITUTE(E21, " ", "^^", LEN(E21)-LEN(SUBSTITUTE(E21, " ", ""))))-1), E21)</f>
        <v>잭다니엘스 허니</v>
      </c>
      <c r="G21" t="str">
        <f>TRIM(RIGHT(SUBSTITUTE(E21, " ", REPT(" ", 100)), 100))</f>
        <v>200ml</v>
      </c>
      <c r="H21">
        <v>2</v>
      </c>
      <c r="I21">
        <f>MIN(L21:M21)</f>
        <v>9800</v>
      </c>
      <c r="J21">
        <v>17900</v>
      </c>
      <c r="K21">
        <f>(J21-I21)/J21</f>
        <v>0.4525139665</v>
      </c>
      <c r="L21">
        <v>13750</v>
      </c>
      <c r="M21">
        <v>9800</v>
      </c>
      <c r="N21">
        <v>999999</v>
      </c>
    </row>
    <row r="22" xml:space="preserve">
      <c r="B22">
        <v>5099873046173</v>
      </c>
      <c r="C22" t="str" xml:space="preserve">
        <f xml:space="preserve">IF(COUNT(L22, M22, N22)=0, "데이터 없음", 
  IF(MIN(L22, M22, N22)=L22, $L$2, 
  IF(MIN(L22, M22, N22)=M22, $M$2, $N$2)))</f>
        <v>세븐</v>
      </c>
      <c r="D22">
        <f>IF(COUNT(L22, M22, N22)=0, "", MIN(L22, M22, N22))</f>
        <v>9800</v>
      </c>
      <c r="E22" t="str">
        <v>잭다니엘 블랙 200ml</v>
      </c>
      <c r="F22" t="str">
        <f>IFERROR(LEFT(E22, SEARCH("^^", SUBSTITUTE(E22, " ", "^^", LEN(E22)-LEN(SUBSTITUTE(E22, " ", ""))))-1), E22)</f>
        <v>잭다니엘 블랙</v>
      </c>
      <c r="G22" t="str">
        <f>TRIM(RIGHT(SUBSTITUTE(E22, " ", REPT(" ", 100)), 100))</f>
        <v>200ml</v>
      </c>
      <c r="H22">
        <v>3</v>
      </c>
      <c r="I22">
        <f>MIN(L22:M22)</f>
        <v>9800</v>
      </c>
      <c r="J22">
        <v>17900</v>
      </c>
      <c r="K22">
        <f>(J22-I22)/J22</f>
        <v>0.4525139665</v>
      </c>
      <c r="L22">
        <v>13750</v>
      </c>
      <c r="M22">
        <v>9800</v>
      </c>
      <c r="N22">
        <v>999999</v>
      </c>
    </row>
    <row r="23" xml:space="preserve">
      <c r="B23">
        <v>8809861950101</v>
      </c>
      <c r="C23" t="str" xml:space="preserve">
        <f xml:space="preserve">IF(COUNT(L23, M23, N23)=0, "데이터 없음", 
  IF(MIN(L23, M23, N23)=L23, $L$2, 
  IF(MIN(L23, M23, N23)=M23, $M$2, $N$2)))</f>
        <v>생필체인</v>
      </c>
      <c r="D23">
        <f>IF(COUNT(L23, M23, N23)=0, "", MIN(L23, M23, N23))</f>
        <v>16700.01667</v>
      </c>
      <c r="E23" t="str">
        <v>원소주] 클래식 375ml</v>
      </c>
      <c r="F23" t="str">
        <f>IFERROR(LEFT(E23, SEARCH("^^", SUBSTITUTE(E23, " ", "^^", LEN(E23)-LEN(SUBSTITUTE(E23, " ", ""))))-1), E23)</f>
        <v>원소주] 클래식</v>
      </c>
      <c r="G23" t="str">
        <f>TRIM(RIGHT(SUBSTITUTE(E23, " ", REPT(" ", 100)), 100))</f>
        <v>375ml</v>
      </c>
      <c r="H23">
        <v>6</v>
      </c>
      <c r="I23">
        <v>16700</v>
      </c>
      <c r="J23">
        <v>26000</v>
      </c>
      <c r="K23">
        <f>(J23-I23)/J23</f>
        <v>0.3576923077</v>
      </c>
      <c r="N23">
        <f>91091*1.1/6</f>
        <v>16700.01667</v>
      </c>
      <c r="O23" t="str">
        <v>생필 6개</v>
      </c>
    </row>
    <row r="24" xml:space="preserve">
      <c r="C24" t="str" xml:space="preserve">
        <f xml:space="preserve">IF(COUNT(L24, M24, N24)=0, "데이터 없음", 
  IF(MIN(L24, M24, N24)=L24, $L$2, 
  IF(MIN(L24, M24, N24)=M24, $M$2, $N$2)))</f>
        <v>데이터 없음</v>
      </c>
      <c r="D24" t="str">
        <f>IF(COUNT(L24, M24, N24)=0, "", MIN(L24, M24, N24))</f>
        <v/>
      </c>
      <c r="E24" t="str">
        <v>원소주] 오리지널 375ml</v>
      </c>
      <c r="F24" t="str">
        <f>IFERROR(LEFT(E24, SEARCH("^^", SUBSTITUTE(E24, " ", "^^", LEN(E24)-LEN(SUBSTITUTE(E24, " ", ""))))-1), E24)</f>
        <v>원소주] 오리지널</v>
      </c>
      <c r="G24" t="str">
        <f>TRIM(RIGHT(SUBSTITUTE(E24, " ", REPT(" ", 100)), 100))</f>
        <v>375ml</v>
      </c>
      <c r="I24">
        <v>11383</v>
      </c>
      <c r="J24">
        <v>18000</v>
      </c>
      <c r="K24">
        <f>(J24-I24)/J24</f>
        <v>0.3676111111</v>
      </c>
    </row>
    <row r="25" xml:space="preserve">
      <c r="C25" t="str" xml:space="preserve">
        <f xml:space="preserve">IF(COUNT(L25, M25, N25)=0, "데이터 없음", 
  IF(MIN(L25, M25, N25)=L25, $L$2, 
  IF(MIN(L25, M25, N25)=M25, $M$2, $N$2)))</f>
        <v>데이터 없음</v>
      </c>
      <c r="D25" t="str">
        <f>IF(COUNT(L25, M25, N25)=0, "", MIN(L25, M25, N25))</f>
        <v/>
      </c>
      <c r="E25" t="str">
        <v>원소주] 스피릿 375ml</v>
      </c>
      <c r="F25" t="str">
        <f>IFERROR(LEFT(E25, SEARCH("^^", SUBSTITUTE(E25, " ", "^^", LEN(E25)-LEN(SUBSTITUTE(E25, " ", ""))))-1), E25)</f>
        <v>원소주] 스피릿</v>
      </c>
      <c r="G25" t="str">
        <f>TRIM(RIGHT(SUBSTITUTE(E25, " ", REPT(" ", 100)), 100))</f>
        <v>375ml</v>
      </c>
      <c r="I25">
        <v>9933</v>
      </c>
      <c r="J25">
        <v>16000</v>
      </c>
      <c r="K25">
        <f>(J25-I25)/J25</f>
        <v>0.3791875</v>
      </c>
    </row>
    <row r="26" xml:space="preserve">
      <c r="B26">
        <v>8802340270141</v>
      </c>
      <c r="C26" t="str" xml:space="preserve">
        <f xml:space="preserve">IF(COUNT(L26, M26, N26)=0, "데이터 없음", 
  IF(MIN(L26, M26, N26)=L26, $L$2, 
  IF(MIN(L26, M26, N26)=M26, $M$2, $N$2)))</f>
        <v>세븐</v>
      </c>
      <c r="D26">
        <f>IF(COUNT(L26, M26, N26)=0, "", MIN(L26, M26, N26))</f>
        <v>9470</v>
      </c>
      <c r="E26" t="str">
        <v>옐로우테일 제미레드 750ML</v>
      </c>
      <c r="F26" t="str">
        <f>IFERROR(LEFT(E26, SEARCH("^^", SUBSTITUTE(E26, " ", "^^", LEN(E26)-LEN(SUBSTITUTE(E26, " ", ""))))-1), E26)</f>
        <v>옐로우테일 제미레드</v>
      </c>
      <c r="G26" t="str">
        <f>TRIM(RIGHT(SUBSTITUTE(E26, " ", REPT(" ", 100)), 100))</f>
        <v>750ML</v>
      </c>
      <c r="H26">
        <v>3</v>
      </c>
      <c r="I26">
        <v>9470</v>
      </c>
      <c r="J26">
        <v>23000</v>
      </c>
      <c r="K26">
        <f>(J26-I26)/J26</f>
        <v>0.5882608696</v>
      </c>
      <c r="M26">
        <v>9470</v>
      </c>
    </row>
    <row r="27" xml:space="preserve">
      <c r="C27" t="str" xml:space="preserve">
        <f xml:space="preserve">IF(COUNT(L27, M27, N27)=0, "데이터 없음", 
  IF(MIN(L27, M27, N27)=L27, $L$2, 
  IF(MIN(L27, M27, N27)=M27, $M$2, $N$2)))</f>
        <v>세븐</v>
      </c>
      <c r="D27">
        <f>IF(COUNT(L27, M27, N27)=0, "", MIN(L27, M27, N27))</f>
        <v>9470</v>
      </c>
      <c r="E27" t="str">
        <v>옐로우테일 쉬라즈 750ML</v>
      </c>
      <c r="F27" t="str">
        <f>IFERROR(LEFT(E27, SEARCH("^^", SUBSTITUTE(E27, " ", "^^", LEN(E27)-LEN(SUBSTITUTE(E27, " ", ""))))-1), E27)</f>
        <v>옐로우테일 쉬라즈</v>
      </c>
      <c r="G27" t="str">
        <f>TRIM(RIGHT(SUBSTITUTE(E27, " ", REPT(" ", 100)), 100))</f>
        <v>750ML</v>
      </c>
      <c r="I27">
        <v>12100</v>
      </c>
      <c r="J27">
        <v>23000</v>
      </c>
      <c r="K27">
        <f>(J27-I27)/J27</f>
        <v>0.4739130435</v>
      </c>
      <c r="M27">
        <v>9470</v>
      </c>
      <c r="O27" t="str">
        <v>생필 12개</v>
      </c>
    </row>
    <row r="28" xml:space="preserve">
      <c r="B28">
        <v>8802340165751</v>
      </c>
      <c r="C28" t="str" xml:space="preserve">
        <f xml:space="preserve">IF(COUNT(L28, M28, N28)=0, "데이터 없음", 
  IF(MIN(L28, M28, N28)=L28, $L$2, 
  IF(MIN(L28, M28, N28)=M28, $M$2, $N$2)))</f>
        <v>세븐</v>
      </c>
      <c r="D28">
        <f>IF(COUNT(L28, M28, N28)=0, "", MIN(L28, M28, N28))</f>
        <v>2800</v>
      </c>
      <c r="E28" t="str">
        <v>옐로우테일 쉬라즈 187ML</v>
      </c>
      <c r="F28" t="str">
        <f>IFERROR(LEFT(E28, SEARCH("^^", SUBSTITUTE(E28, " ", "^^", LEN(E28)-LEN(SUBSTITUTE(E28, " ", ""))))-1), E28)</f>
        <v>옐로우테일 쉬라즈</v>
      </c>
      <c r="G28" t="str">
        <f>TRIM(RIGHT(SUBSTITUTE(E28, " ", REPT(" ", 100)), 100))</f>
        <v>187ML</v>
      </c>
      <c r="I28">
        <f>MIN(L28:M28)</f>
        <v>2800</v>
      </c>
      <c r="J28">
        <v>6000</v>
      </c>
      <c r="K28">
        <f>(J28-I28)/J28</f>
        <v>0.5333333333</v>
      </c>
      <c r="L28">
        <v>3190</v>
      </c>
      <c r="M28">
        <v>2800</v>
      </c>
    </row>
    <row r="29" xml:space="preserve">
      <c r="C29" t="str" xml:space="preserve">
        <f xml:space="preserve">IF(COUNT(L29, M29, N29)=0, "데이터 없음", 
  IF(MIN(L29, M29, N29)=L29, $L$2, 
  IF(MIN(L29, M29, N29)=M29, $M$2, $N$2)))</f>
        <v>세븐</v>
      </c>
      <c r="D29">
        <f>IF(COUNT(L29, M29, N29)=0, "", MIN(L29, M29, N29))</f>
        <v>9470</v>
      </c>
      <c r="E29" t="str">
        <v>옐로우테일 샤도네 750ML</v>
      </c>
      <c r="F29" t="str">
        <f>IFERROR(LEFT(E29, SEARCH("^^", SUBSTITUTE(E29, " ", "^^", LEN(E29)-LEN(SUBSTITUTE(E29, " ", ""))))-1), E29)</f>
        <v>옐로우테일 샤도네</v>
      </c>
      <c r="G29" t="str">
        <f>TRIM(RIGHT(SUBSTITUTE(E29, " ", REPT(" ", 100)), 100))</f>
        <v>750ML</v>
      </c>
      <c r="H29">
        <v>3</v>
      </c>
      <c r="I29">
        <v>9470</v>
      </c>
      <c r="J29">
        <v>23000</v>
      </c>
      <c r="K29">
        <f>(J29-I29)/J29</f>
        <v>0.5882608696</v>
      </c>
      <c r="M29">
        <v>9470</v>
      </c>
      <c r="O29" t="str">
        <v>생필 12개</v>
      </c>
    </row>
    <row r="30" xml:space="preserve">
      <c r="C30" t="str" xml:space="preserve">
        <f xml:space="preserve">IF(COUNT(L30, M30, N30)=0, "데이터 없음", 
  IF(MIN(L30, M30, N30)=L30, $L$2, 
  IF(MIN(L30, M30, N30)=M30, $M$2, $N$2)))</f>
        <v>데이터 없음</v>
      </c>
      <c r="D30" t="str">
        <f>IF(COUNT(L30, M30, N30)=0, "", MIN(L30, M30, N30))</f>
        <v/>
      </c>
      <c r="E30" t="str">
        <v>옐로우테일 모스카또 750ML</v>
      </c>
      <c r="F30" t="str">
        <f>IFERROR(LEFT(E30, SEARCH("^^", SUBSTITUTE(E30, " ", "^^", LEN(E30)-LEN(SUBSTITUTE(E30, " ", ""))))-1), E30)</f>
        <v>옐로우테일 모스카또</v>
      </c>
      <c r="G30" t="str">
        <f>TRIM(RIGHT(SUBSTITUTE(E30, " ", REPT(" ", 100)), 100))</f>
        <v>750ML</v>
      </c>
      <c r="K30" t="str">
        <f>(J30-I30)/J30</f>
        <v>#DIV/0!</v>
      </c>
      <c r="O30" t="str">
        <v>생필 12개</v>
      </c>
    </row>
    <row r="31" xml:space="preserve">
      <c r="C31" t="str" xml:space="preserve">
        <f xml:space="preserve">IF(COUNT(L31, M31, N31)=0, "데이터 없음", 
  IF(MIN(L31, M31, N31)=L31, $L$2, 
  IF(MIN(L31, M31, N31)=M31, $M$2, $N$2)))</f>
        <v>데이터 없음</v>
      </c>
      <c r="D31" t="str">
        <f>IF(COUNT(L31, M31, N31)=0, "", MIN(L31, M31, N31))</f>
        <v/>
      </c>
      <c r="E31" t="str">
        <v>옐로우테일 메를로 750ML</v>
      </c>
      <c r="F31" t="str">
        <f>IFERROR(LEFT(E31, SEARCH("^^", SUBSTITUTE(E31, " ", "^^", LEN(E31)-LEN(SUBSTITUTE(E31, " ", ""))))-1), E31)</f>
        <v>옐로우테일 메를로</v>
      </c>
      <c r="G31" t="str">
        <f>TRIM(RIGHT(SUBSTITUTE(E31, " ", REPT(" ", 100)), 100))</f>
        <v>750ML</v>
      </c>
      <c r="K31" t="str">
        <f>(J31-I31)/J31</f>
        <v>#DIV/0!</v>
      </c>
      <c r="O31" t="str">
        <v>생필 12개</v>
      </c>
    </row>
    <row r="32" xml:space="preserve">
      <c r="B32">
        <v>8802340245613</v>
      </c>
      <c r="C32" t="str" xml:space="preserve">
        <f xml:space="preserve">IF(COUNT(L32, M32, N32)=0, "데이터 없음", 
  IF(MIN(L32, M32, N32)=L32, $L$2, 
  IF(MIN(L32, M32, N32)=M32, $M$2, $N$2)))</f>
        <v>세븐</v>
      </c>
      <c r="D32">
        <f>IF(COUNT(L32, M32, N32)=0, "", MIN(L32, M32, N32))</f>
        <v>2800</v>
      </c>
      <c r="E32" t="str">
        <v>옐로우테일 까소 187ML</v>
      </c>
      <c r="F32" t="str">
        <f>IFERROR(LEFT(E32, SEARCH("^^", SUBSTITUTE(E32, " ", "^^", LEN(E32)-LEN(SUBSTITUTE(E32, " ", ""))))-1), E32)</f>
        <v>옐로우테일 까소</v>
      </c>
      <c r="G32" t="str">
        <f>TRIM(RIGHT(SUBSTITUTE(E32, " ", REPT(" ", 100)), 100))</f>
        <v>187ML</v>
      </c>
      <c r="H32">
        <v>4</v>
      </c>
      <c r="I32">
        <f>MIN(L32:M32)</f>
        <v>2800</v>
      </c>
      <c r="J32">
        <v>6000</v>
      </c>
      <c r="K32">
        <f>(J32-I32)/J32</f>
        <v>0.5333333333</v>
      </c>
      <c r="L32">
        <v>3190</v>
      </c>
      <c r="M32">
        <v>2800</v>
      </c>
    </row>
    <row r="33" xml:space="preserve">
      <c r="C33" t="str" xml:space="preserve">
        <f xml:space="preserve">IF(COUNT(L33, M33, N33)=0, "데이터 없음", 
  IF(MIN(L33, M33, N33)=L33, $L$2, 
  IF(MIN(L33, M33, N33)=M33, $M$2, $N$2)))</f>
        <v>데이터 없음</v>
      </c>
      <c r="D33" t="str">
        <f>IF(COUNT(L33, M33, N33)=0, "", MIN(L33, M33, N33))</f>
        <v/>
      </c>
      <c r="E33" t="str">
        <v>옐로우테일 까베르네 소비뇽 750ML</v>
      </c>
      <c r="F33" t="str">
        <f>IFERROR(LEFT(E33, SEARCH("^^", SUBSTITUTE(E33, " ", "^^", LEN(E33)-LEN(SUBSTITUTE(E33, " ", ""))))-1), E33)</f>
        <v>옐로우테일 까베르네 소비뇽</v>
      </c>
      <c r="G33" t="str">
        <f>TRIM(RIGHT(SUBSTITUTE(E33, " ", REPT(" ", 100)), 100))</f>
        <v>750ML</v>
      </c>
      <c r="K33" t="str">
        <f>(J33-I33)/J33</f>
        <v>#DIV/0!</v>
      </c>
      <c r="O33" t="str">
        <v>생필 12개</v>
      </c>
    </row>
    <row r="34" xml:space="preserve">
      <c r="C34" t="str" xml:space="preserve">
        <f xml:space="preserve">IF(COUNT(L34, M34, N34)=0, "데이터 없음", 
  IF(MIN(L34, M34, N34)=L34, $L$2, 
  IF(MIN(L34, M34, N34)=M34, $M$2, $N$2)))</f>
        <v>세븐</v>
      </c>
      <c r="D34">
        <f>IF(COUNT(L34, M34, N34)=0, "", MIN(L34, M34, N34))</f>
        <v>9470</v>
      </c>
      <c r="E34" t="str">
        <v>옐로우테일 까버네 750ML</v>
      </c>
      <c r="F34" t="str">
        <f>IFERROR(LEFT(E34, SEARCH("^^", SUBSTITUTE(E34, " ", "^^", LEN(E34)-LEN(SUBSTITUTE(E34, " ", ""))))-1), E34)</f>
        <v>옐로우테일 까버네</v>
      </c>
      <c r="G34" t="str">
        <f>TRIM(RIGHT(SUBSTITUTE(E34, " ", REPT(" ", 100)), 100))</f>
        <v>750ML</v>
      </c>
      <c r="H34">
        <v>3</v>
      </c>
      <c r="I34">
        <v>9470</v>
      </c>
      <c r="J34">
        <v>23000</v>
      </c>
      <c r="K34">
        <f>(J34-I34)/J34</f>
        <v>0.5882608696</v>
      </c>
      <c r="M34">
        <v>9470</v>
      </c>
    </row>
    <row r="35" xml:space="preserve">
      <c r="B35">
        <v>5942084507356</v>
      </c>
      <c r="C35" t="str" xml:space="preserve">
        <f xml:space="preserve">IF(COUNT(L35, M35, N35)=0, "데이터 없음", 
  IF(MIN(L35, M35, N35)=L35, $L$2, 
  IF(MIN(L35, M35, N35)=M35, $M$2, $N$2)))</f>
        <v>부성</v>
      </c>
      <c r="D35">
        <f>IF(COUNT(L35, M35, N35)=0, "", MIN(L35, M35, N35))</f>
        <v>20570</v>
      </c>
      <c r="E35" t="str">
        <v>솔라라레드 750ml</v>
      </c>
      <c r="F35" t="str">
        <f>IFERROR(LEFT(E35, SEARCH("^^", SUBSTITUTE(E35, " ", "^^", LEN(E35)-LEN(SUBSTITUTE(E35, " ", ""))))-1), E35)</f>
        <v>솔라라레드</v>
      </c>
      <c r="G35" t="str">
        <f>TRIM(RIGHT(SUBSTITUTE(E35, " ", REPT(" ", 100)), 100))</f>
        <v>750ml</v>
      </c>
      <c r="H35">
        <v>1</v>
      </c>
      <c r="I35">
        <f>MIN(L35:M35)</f>
        <v>20570</v>
      </c>
      <c r="J35">
        <v>34000</v>
      </c>
      <c r="K35">
        <f>(J35-I35)/J35</f>
        <v>0.395</v>
      </c>
      <c r="L35">
        <v>20570</v>
      </c>
    </row>
    <row r="36" xml:space="preserve">
      <c r="B36">
        <v>5942084507134</v>
      </c>
      <c r="C36" t="str" xml:space="preserve">
        <f xml:space="preserve">IF(COUNT(L36, M36, N36)=0, "데이터 없음", 
  IF(MIN(L36, M36, N36)=L36, $L$2, 
  IF(MIN(L36, M36, N36)=M36, $M$2, $N$2)))</f>
        <v>부성</v>
      </c>
      <c r="D36">
        <f>IF(COUNT(L36, M36, N36)=0, "", MIN(L36, M36, N36))</f>
        <v>20570</v>
      </c>
      <c r="E36" t="str">
        <v>솔라라 로제 750ml</v>
      </c>
      <c r="F36" t="str">
        <f>IFERROR(LEFT(E36, SEARCH("^^", SUBSTITUTE(E36, " ", "^^", LEN(E36)-LEN(SUBSTITUTE(E36, " ", ""))))-1), E36)</f>
        <v>솔라라 로제</v>
      </c>
      <c r="G36" t="str">
        <f>TRIM(RIGHT(SUBSTITUTE(E36, " ", REPT(" ", 100)), 100))</f>
        <v>750ml</v>
      </c>
      <c r="H36">
        <v>0</v>
      </c>
      <c r="I36">
        <f>MIN(L36:M36)</f>
        <v>20570</v>
      </c>
      <c r="J36">
        <v>25000</v>
      </c>
      <c r="K36">
        <f>(J36-I36)/J36</f>
        <v>0.1772</v>
      </c>
      <c r="L36">
        <v>20570</v>
      </c>
    </row>
    <row r="37" xml:space="preserve">
      <c r="B37">
        <v>8004385034201</v>
      </c>
      <c r="C37" t="str" xml:space="preserve">
        <f xml:space="preserve">IF(COUNT(L37, M37, N37)=0, "데이터 없음", 
  IF(MIN(L37, M37, N37)=L37, $L$2, 
  IF(MIN(L37, M37, N37)=M37, $M$2, $N$2)))</f>
        <v>부성</v>
      </c>
      <c r="D37">
        <f>IF(COUNT(L37, M37, N37)=0, "", MIN(L37, M37, N37))</f>
        <v>16830</v>
      </c>
      <c r="E37" t="str">
        <v>빌라욜란다 모스카토 다스티 750ml</v>
      </c>
      <c r="F37" t="str">
        <f>IFERROR(LEFT(E37, SEARCH("^^", SUBSTITUTE(E37, " ", "^^", LEN(E37)-LEN(SUBSTITUTE(E37, " ", ""))))-1), E37)</f>
        <v>빌라욜란다 모스카토 다스티</v>
      </c>
      <c r="G37" t="str">
        <f>TRIM(RIGHT(SUBSTITUTE(E37, " ", REPT(" ", 100)), 100))</f>
        <v>750ml</v>
      </c>
      <c r="I37">
        <f>MIN(L37:M37)</f>
        <v>16830</v>
      </c>
      <c r="J37">
        <v>29000</v>
      </c>
      <c r="K37">
        <f>(J37-I37)/J37</f>
        <v>0.4196551724</v>
      </c>
      <c r="L37">
        <v>16830</v>
      </c>
      <c r="M37">
        <v>999999</v>
      </c>
    </row>
    <row r="38" xml:space="preserve">
      <c r="B38" t="str">
        <v>8806142707508</v>
      </c>
      <c r="C38" t="str" xml:space="preserve">
        <f xml:space="preserve">IF(COUNT(L38, M38, N38)=0, "데이터 없음", 
  IF(MIN(L38, M38, N38)=L38, $L$2, 
  IF(MIN(L38, M38, N38)=M38, $M$2, $N$2)))</f>
        <v>생필체인</v>
      </c>
      <c r="D38">
        <f>IF(COUNT(L38, M38, N38)=0, "", MIN(L38, M38, N38))</f>
        <v>6516.583333</v>
      </c>
      <c r="E38" t="str">
        <v>빌라엠로제 750ml</v>
      </c>
      <c r="F38" t="str">
        <f>IFERROR(LEFT(E38, SEARCH("^^", SUBSTITUTE(E38, " ", "^^", LEN(E38)-LEN(SUBSTITUTE(E38, " ", ""))))-1), E38)</f>
        <v>빌라엠로제</v>
      </c>
      <c r="G38" t="str">
        <f>TRIM(RIGHT(SUBSTITUTE(E38, " ", REPT(" ", 100)), 100))</f>
        <v>750ml</v>
      </c>
      <c r="H38">
        <v>6</v>
      </c>
      <c r="I38">
        <f>(35545*1.1)/6</f>
        <v>6516.583333</v>
      </c>
      <c r="J38">
        <v>45000</v>
      </c>
      <c r="K38">
        <f>(J38-I38)/J38</f>
        <v>0.855187037</v>
      </c>
      <c r="N38">
        <f>(35545*1.1)/6</f>
        <v>6516.583333</v>
      </c>
      <c r="O38" t="str">
        <v>생필 6개</v>
      </c>
    </row>
    <row r="39" xml:space="preserve">
      <c r="B39">
        <v>80480301033</v>
      </c>
      <c r="C39" t="str" xml:space="preserve">
        <f xml:space="preserve">IF(COUNT(L39, M39, N39)=0, "데이터 없음", 
  IF(MIN(L39, M39, N39)=L39, $L$2, 
  IF(MIN(L39, M39, N39)=M39, $M$2, $N$2)))</f>
        <v>세븐</v>
      </c>
      <c r="D39">
        <f>IF(COUNT(L39, M39, N39)=0, "", MIN(L39, M39, N39))</f>
        <v>13900</v>
      </c>
      <c r="E39" t="str">
        <v>봄베이사파이어 375ml</v>
      </c>
      <c r="F39" t="str">
        <f>IFERROR(LEFT(E39, SEARCH("^^", SUBSTITUTE(E39, " ", "^^", LEN(E39)-LEN(SUBSTITUTE(E39, " ", ""))))-1), E39)</f>
        <v>봄베이사파이어</v>
      </c>
      <c r="G39" t="str">
        <f>TRIM(RIGHT(SUBSTITUTE(E39, " ", REPT(" ", 100)), 100))</f>
        <v>375ml</v>
      </c>
      <c r="I39">
        <f>MIN(L39:M39)</f>
        <v>13900</v>
      </c>
      <c r="J39">
        <v>27000</v>
      </c>
      <c r="K39">
        <f>(J39-I39)/J39</f>
        <v>0.4851851852</v>
      </c>
      <c r="L39">
        <v>17270</v>
      </c>
      <c r="M39">
        <v>13900</v>
      </c>
      <c r="N39">
        <v>999999</v>
      </c>
    </row>
    <row r="40" xml:space="preserve">
      <c r="B40">
        <v>8801147121847</v>
      </c>
      <c r="C40" t="str" xml:space="preserve">
        <f xml:space="preserve">IF(COUNT(L40, M40, N40)=0, "데이터 없음", 
  IF(MIN(L40, M40, N40)=L40, $L$2, 
  IF(MIN(L40, M40, N40)=M40, $M$2, $N$2)))</f>
        <v>세븐</v>
      </c>
      <c r="D40">
        <f>IF(COUNT(L40, M40, N40)=0, "", MIN(L40, M40, N40))</f>
        <v>5597</v>
      </c>
      <c r="E40" t="str">
        <v>보해복분자 375ml</v>
      </c>
      <c r="F40" t="str">
        <f>IFERROR(LEFT(E40, SEARCH("^^", SUBSTITUTE(E40, " ", "^^", LEN(E40)-LEN(SUBSTITUTE(E40, " ", ""))))-1), E40)</f>
        <v>보해복분자</v>
      </c>
      <c r="G40" t="str">
        <f>TRIM(RIGHT(SUBSTITUTE(E40, " ", REPT(" ", 100)), 100))</f>
        <v>375ml</v>
      </c>
      <c r="H40">
        <v>12</v>
      </c>
      <c r="I40">
        <f>MIN(L40:M40)</f>
        <v>5597</v>
      </c>
      <c r="J40">
        <v>10200</v>
      </c>
      <c r="K40">
        <f>(J40-I40)/J40</f>
        <v>0.4512745098</v>
      </c>
      <c r="L40">
        <v>6156</v>
      </c>
      <c r="M40">
        <v>5597</v>
      </c>
      <c r="N40">
        <f>(76176*1.1+1200)/12</f>
        <v>7082.8</v>
      </c>
      <c r="O40" t="str">
        <v>생필 12개</v>
      </c>
    </row>
    <row r="41" xml:space="preserve">
      <c r="B41" t="str">
        <v>5000387905634</v>
      </c>
      <c r="C41" t="str" xml:space="preserve">
        <f xml:space="preserve">IF(COUNT(L41, M41, N41)=0, "데이터 없음", 
  IF(MIN(L41, M41, N41)=L41, $L$2, 
  IF(MIN(L41, M41, N41)=M41, $M$2, $N$2)))</f>
        <v>생필체인</v>
      </c>
      <c r="D41">
        <f>IF(COUNT(L41, M41, N41)=0, "", MIN(L41, M41, N41))</f>
        <v>13700</v>
      </c>
      <c r="E41" t="str">
        <v>벨즈 위스키 700ml</v>
      </c>
      <c r="F41" t="str">
        <f>IFERROR(LEFT(E41, SEARCH("^^", SUBSTITUTE(E41, " ", "^^", LEN(E41)-LEN(SUBSTITUTE(E41, " ", ""))))-1), E41)</f>
        <v>벨즈 위스키</v>
      </c>
      <c r="G41" t="str">
        <f>TRIM(RIGHT(SUBSTITUTE(E41, " ", REPT(" ", 100)), 100))</f>
        <v>700ml</v>
      </c>
      <c r="H41">
        <v>2</v>
      </c>
      <c r="I41">
        <v>13700</v>
      </c>
      <c r="J41">
        <v>23000</v>
      </c>
      <c r="K41">
        <f>(J41-I41)/J41</f>
        <v>0.4043478261</v>
      </c>
      <c r="N41">
        <v>13700</v>
      </c>
      <c r="O41" t="str">
        <v>생필 12개</v>
      </c>
    </row>
    <row r="42" xml:space="preserve">
      <c r="B42">
        <v>8000548005040</v>
      </c>
      <c r="C42" t="str" xml:space="preserve">
        <f xml:space="preserve">IF(COUNT(L42, M42, N42)=0, "데이터 없음", 
  IF(MIN(L42, M42, N42)=L42, $L$2, 
  IF(MIN(L42, M42, N42)=M42, $M$2, $N$2)))</f>
        <v>부성</v>
      </c>
      <c r="D42">
        <f>IF(COUNT(L42, M42, N42)=0, "", MIN(L42, M42, N42))</f>
        <v>19360</v>
      </c>
      <c r="E42" t="str">
        <v>발비소프라니아스티 750ml</v>
      </c>
      <c r="F42" t="str">
        <f>IFERROR(LEFT(E42, SEARCH("^^", SUBSTITUTE(E42, " ", "^^", LEN(E42)-LEN(SUBSTITUTE(E42, " ", ""))))-1), E42)</f>
        <v>발비소프라니아스티</v>
      </c>
      <c r="G42" t="str">
        <f>TRIM(RIGHT(SUBSTITUTE(E42, " ", REPT(" ", 100)), 100))</f>
        <v>750ml</v>
      </c>
      <c r="H42">
        <v>3</v>
      </c>
      <c r="I42">
        <f>MIN(L42:M42)</f>
        <v>19360</v>
      </c>
      <c r="J42">
        <v>31000</v>
      </c>
      <c r="K42">
        <f>(J42-I42)/J42</f>
        <v>0.375483871</v>
      </c>
      <c r="L42">
        <v>19360</v>
      </c>
      <c r="M42">
        <v>999999</v>
      </c>
    </row>
    <row r="43" xml:space="preserve">
      <c r="B43" t="str">
        <v>5010106110140</v>
      </c>
      <c r="C43" t="str" xml:space="preserve">
        <f xml:space="preserve">IF(COUNT(L43, M43, N43)=0, "데이터 없음", 
  IF(MIN(L43, M43, N43)=L43, $L$2, 
  IF(MIN(L43, M43, N43)=M43, $M$2, $N$2)))</f>
        <v>생필체인</v>
      </c>
      <c r="D43">
        <f>IF(COUNT(L43, M43, N43)=0, "", MIN(L43, M43, N43))</f>
        <v>95857.3</v>
      </c>
      <c r="E43" t="str">
        <v>발렌타인17년Set 500ml</v>
      </c>
      <c r="F43" t="str">
        <f>IFERROR(LEFT(E43, SEARCH("^^", SUBSTITUTE(E43, " ", "^^", LEN(E43)-LEN(SUBSTITUTE(E43, " ", ""))))-1), E43)</f>
        <v>발렌타인17년Set</v>
      </c>
      <c r="G43" t="str">
        <f>TRIM(RIGHT(SUBSTITUTE(E43, " ", REPT(" ", 100)), 100))</f>
        <v>500ml</v>
      </c>
      <c r="H43">
        <v>1</v>
      </c>
      <c r="I43">
        <f>87143*1.1</f>
        <v>95857.3</v>
      </c>
      <c r="J43">
        <v>175000</v>
      </c>
      <c r="K43">
        <f>(J43-I43)/J43</f>
        <v>0.452244</v>
      </c>
      <c r="N43">
        <f>87143*1.1</f>
        <v>95857.3</v>
      </c>
    </row>
    <row r="44" xml:space="preserve">
      <c r="B44">
        <v>5000299628652</v>
      </c>
      <c r="C44" t="str" xml:space="preserve">
        <f xml:space="preserve">IF(COUNT(L44, M44, N44)=0, "데이터 없음", 
  IF(MIN(L44, M44, N44)=L44, $L$2, 
  IF(MIN(L44, M44, N44)=M44, $M$2, $N$2)))</f>
        <v>세븐</v>
      </c>
      <c r="D44">
        <f>IF(COUNT(L44, M44, N44)=0, "", MIN(L44, M44, N44))</f>
        <v>9900</v>
      </c>
      <c r="E44" t="str">
        <v>발렌타인10년 200ml</v>
      </c>
      <c r="F44" t="str">
        <f>IFERROR(LEFT(E44, SEARCH("^^", SUBSTITUTE(E44, " ", "^^", LEN(E44)-LEN(SUBSTITUTE(E44, " ", ""))))-1), E44)</f>
        <v>발렌타인10년</v>
      </c>
      <c r="G44" t="str">
        <f>TRIM(RIGHT(SUBSTITUTE(E44, " ", REPT(" ", 100)), 100))</f>
        <v>200ml</v>
      </c>
      <c r="H44">
        <v>2</v>
      </c>
      <c r="I44">
        <f>MIN(L44:M44)</f>
        <v>9900</v>
      </c>
      <c r="J44">
        <v>16900</v>
      </c>
      <c r="K44">
        <f>(J44-I44)/J44</f>
        <v>0.4142011834</v>
      </c>
      <c r="L44">
        <v>21769</v>
      </c>
      <c r="M44">
        <v>9900</v>
      </c>
      <c r="N44">
        <v>999999</v>
      </c>
    </row>
    <row r="45" xml:space="preserve">
      <c r="B45">
        <v>8410024710960</v>
      </c>
      <c r="C45" t="str" xml:space="preserve">
        <f xml:space="preserve">IF(COUNT(L45, M45, N45)=0, "데이터 없음", 
  IF(MIN(L45, M45, N45)=L45, $L$2, 
  IF(MIN(L45, M45, N45)=M45, $M$2, $N$2)))</f>
        <v>부성</v>
      </c>
      <c r="D45">
        <f>IF(COUNT(L45, M45, N45)=0, "", MIN(L45, M45, N45))</f>
        <v>23909</v>
      </c>
      <c r="E45" t="str">
        <v>말리부 700ml</v>
      </c>
      <c r="F45" t="str">
        <f>IFERROR(LEFT(E45, SEARCH("^^", SUBSTITUTE(E45, " ", "^^", LEN(E45)-LEN(SUBSTITUTE(E45, " ", ""))))-1), E45)</f>
        <v>말리부</v>
      </c>
      <c r="G45" t="str">
        <f>TRIM(RIGHT(SUBSTITUTE(E45, " ", REPT(" ", 100)), 100))</f>
        <v>700ml</v>
      </c>
      <c r="H45">
        <v>6</v>
      </c>
      <c r="I45">
        <f>MIN(L45:M45)</f>
        <v>23909</v>
      </c>
      <c r="J45">
        <v>38000</v>
      </c>
      <c r="K45">
        <f>(J45-I45)/J45</f>
        <v>0.3708157895</v>
      </c>
      <c r="L45">
        <v>23909</v>
      </c>
      <c r="M45">
        <v>999999</v>
      </c>
      <c r="N45">
        <f>130460*1.1/6</f>
        <v>23917.66667</v>
      </c>
      <c r="O45" t="str">
        <v>생필 6개</v>
      </c>
    </row>
    <row r="46" xml:space="preserve">
      <c r="B46" t="str">
        <v xml:space="preserve">089744765857   </v>
      </c>
      <c r="C46" t="str" xml:space="preserve">
        <f xml:space="preserve">IF(COUNT(L46, M46, N46)=0, "데이터 없음", 
  IF(MIN(L46, M46, N46)=L46, $L$2, 
  IF(MIN(L46, M46, N46)=M46, $M$2, $N$2)))</f>
        <v>부성</v>
      </c>
      <c r="D46">
        <f>IF(COUNT(L46, M46, N46)=0, "", MIN(L46, M46, N46))</f>
        <v>9680</v>
      </c>
      <c r="E46" t="str">
        <v>마뱅] 리유니트 피치 모스카토 750ml</v>
      </c>
      <c r="F46" t="str">
        <f>IFERROR(LEFT(E46, SEARCH("^^", SUBSTITUTE(E46, " ", "^^", LEN(E46)-LEN(SUBSTITUTE(E46, " ", ""))))-1), E46)</f>
        <v>마뱅] 리유니트 피치 모스카토</v>
      </c>
      <c r="G46" t="str">
        <f>TRIM(RIGHT(SUBSTITUTE(E46, " ", REPT(" ", 100)), 100))</f>
        <v>750ml</v>
      </c>
      <c r="I46">
        <f>MIN(L46:M46)</f>
        <v>9680</v>
      </c>
      <c r="J46">
        <v>14900</v>
      </c>
      <c r="K46">
        <f>(J46-I46)/J46</f>
        <v>0.3503355705</v>
      </c>
      <c r="L46">
        <v>9680</v>
      </c>
      <c r="M46">
        <v>999999</v>
      </c>
    </row>
    <row r="47" xml:space="preserve">
      <c r="B47">
        <v>89744765659</v>
      </c>
      <c r="C47" t="str" xml:space="preserve">
        <f xml:space="preserve">IF(COUNT(L47, M47, N47)=0, "데이터 없음", 
  IF(MIN(L47, M47, N47)=L47, $L$2, 
  IF(MIN(L47, M47, N47)=M47, $M$2, $N$2)))</f>
        <v>부성</v>
      </c>
      <c r="D47">
        <f>IF(COUNT(L47, M47, N47)=0, "", MIN(L47, M47, N47))</f>
        <v>9680</v>
      </c>
      <c r="E47" t="str">
        <v>마뱅] 리유니트 모스카토 750ml</v>
      </c>
      <c r="F47" t="str">
        <f>IFERROR(LEFT(E47, SEARCH("^^", SUBSTITUTE(E47, " ", "^^", LEN(E47)-LEN(SUBSTITUTE(E47, " ", ""))))-1), E47)</f>
        <v>마뱅] 리유니트 모스카토</v>
      </c>
      <c r="G47" t="str">
        <f>TRIM(RIGHT(SUBSTITUTE(E47, " ", REPT(" ", 100)), 100))</f>
        <v>750ml</v>
      </c>
      <c r="I47">
        <f>MIN(L47:M47)</f>
        <v>9680</v>
      </c>
      <c r="J47">
        <v>18000</v>
      </c>
      <c r="K47">
        <f>(J47-I47)/J47</f>
        <v>0.4622222222</v>
      </c>
      <c r="L47">
        <v>9680</v>
      </c>
      <c r="M47">
        <v>999999</v>
      </c>
    </row>
    <row r="48" xml:space="preserve">
      <c r="B48">
        <v>3175529650962</v>
      </c>
      <c r="C48" t="str" xml:space="preserve">
        <f xml:space="preserve">IF(COUNT(L48, M48, N48)=0, "데이터 없음", 
  IF(MIN(L48, M48, N48)=L48, $L$2, 
  IF(MIN(L48, M48, N48)=M48, $M$2, $N$2)))</f>
        <v>세븐</v>
      </c>
      <c r="D48">
        <f>IF(COUNT(L48, M48, N48)=0, "", MIN(L48, M48, N48))</f>
        <v>3182</v>
      </c>
      <c r="E48" t="str">
        <v>로쉐마제 쌩쏘 그르나슈 250ml</v>
      </c>
      <c r="F48" t="str">
        <f>IFERROR(LEFT(E48, SEARCH("^^", SUBSTITUTE(E48, " ", "^^", LEN(E48)-LEN(SUBSTITUTE(E48, " ", ""))))-1), E48)</f>
        <v>로쉐마제 쌩쏘 그르나슈</v>
      </c>
      <c r="G48" t="str">
        <f>TRIM(RIGHT(SUBSTITUTE(E48, " ", REPT(" ", 100)), 100))</f>
        <v>250ml</v>
      </c>
      <c r="H48">
        <v>1</v>
      </c>
      <c r="I48">
        <f>MIN(L48:M48)</f>
        <v>3182</v>
      </c>
      <c r="J48">
        <v>8000</v>
      </c>
      <c r="K48">
        <f>(J48-I48)/J48</f>
        <v>0.60225</v>
      </c>
      <c r="L48">
        <v>5610</v>
      </c>
      <c r="M48">
        <v>3182</v>
      </c>
      <c r="N48">
        <v>999999</v>
      </c>
    </row>
    <row r="49">
      <c r="E49" t="str">
        <v>디아블로 소비뇽블랑 750ml</v>
      </c>
      <c r="F49" t="str">
        <f>IFERROR(LEFT(E49, SEARCH("^^", SUBSTITUTE(E49, " ", "^^", LEN(E49)-LEN(SUBSTITUTE(E49, " ", ""))))-1), E49)</f>
        <v>디아블로 소비뇽블랑</v>
      </c>
      <c r="G49" t="str">
        <f>TRIM(RIGHT(SUBSTITUTE(E49, " ", REPT(" ", 100)), 100))</f>
        <v>750ml</v>
      </c>
      <c r="H49">
        <v>12</v>
      </c>
      <c r="K49" t="str">
        <f>(J49-I49)/J49</f>
        <v>#DIV/0!</v>
      </c>
      <c r="N49">
        <f>116094*1.1/12</f>
        <v>10641.95</v>
      </c>
      <c r="O49" t="str">
        <v>생필 12개</v>
      </c>
    </row>
    <row r="50">
      <c r="E50" t="str">
        <v>디아블로 로제 750ml</v>
      </c>
      <c r="F50" t="str">
        <f>IFERROR(LEFT(E50, SEARCH("^^", SUBSTITUTE(E50, " ", "^^", LEN(E50)-LEN(SUBSTITUTE(E50, " ", ""))))-1), E50)</f>
        <v>디아블로 로제</v>
      </c>
      <c r="G50" t="str">
        <f>TRIM(RIGHT(SUBSTITUTE(E50, " ", REPT(" ", 100)), 100))</f>
        <v>750ml</v>
      </c>
      <c r="H50">
        <v>12</v>
      </c>
      <c r="K50" t="str">
        <f>(J50-I50)/J50</f>
        <v>#DIV/0!</v>
      </c>
      <c r="N50">
        <f>116094*1.1/12</f>
        <v>10641.95</v>
      </c>
      <c r="O50" t="str">
        <v>생필 12개</v>
      </c>
    </row>
    <row r="51">
      <c r="E51" t="str">
        <v>디아블로 레드블렌드 750ml</v>
      </c>
      <c r="F51" t="str">
        <f>IFERROR(LEFT(E51, SEARCH("^^", SUBSTITUTE(E51, " ", "^^", LEN(E51)-LEN(SUBSTITUTE(E51, " ", ""))))-1), E51)</f>
        <v>디아블로 레드블렌드</v>
      </c>
      <c r="G51" t="str">
        <f>TRIM(RIGHT(SUBSTITUTE(E51, " ", REPT(" ", 100)), 100))</f>
        <v>750ml</v>
      </c>
      <c r="H51">
        <v>12</v>
      </c>
      <c r="K51" t="str">
        <f>(J51-I51)/J51</f>
        <v>#DIV/0!</v>
      </c>
      <c r="N51">
        <f>116094*1.1/12</f>
        <v>10641.95</v>
      </c>
      <c r="O51" t="str">
        <v>생필 12개</v>
      </c>
    </row>
    <row r="52" xml:space="preserve">
      <c r="B52">
        <v>8809709252206</v>
      </c>
      <c r="C52" t="str" xml:space="preserve">
        <f xml:space="preserve">IF(COUNT(L52, M52, N52)=0, "데이터 없음", 
  IF(MIN(L52, M52, N52)=L52, $L$2, 
  IF(MIN(L52, M52, N52)=M52, $M$2, $N$2)))</f>
        <v>부성</v>
      </c>
      <c r="D52">
        <f>IF(COUNT(L52, M52, N52)=0, "", MIN(L52, M52, N52))</f>
        <v>45980</v>
      </c>
      <c r="E52" t="str">
        <v>돈나푸가타 앙겔리 750ml</v>
      </c>
      <c r="F52" t="str">
        <f>IFERROR(LEFT(E52, SEARCH("^^", SUBSTITUTE(E52, " ", "^^", LEN(E52)-LEN(SUBSTITUTE(E52, " ", ""))))-1), E52)</f>
        <v>돈나푸가타 앙겔리</v>
      </c>
      <c r="G52" t="str">
        <f>TRIM(RIGHT(SUBSTITUTE(E52, " ", REPT(" ", 100)), 100))</f>
        <v>750ml</v>
      </c>
      <c r="H52">
        <v>1</v>
      </c>
      <c r="I52">
        <f>MIN(L52:M52)</f>
        <v>45980</v>
      </c>
      <c r="J52">
        <v>64000</v>
      </c>
      <c r="K52">
        <f>(J52-I52)/J52</f>
        <v>0.2815625</v>
      </c>
      <c r="L52">
        <v>45980</v>
      </c>
      <c r="M52">
        <v>999999</v>
      </c>
    </row>
    <row r="53" xml:space="preserve">
      <c r="B53" t="str">
        <v xml:space="preserve">8809726291950  </v>
      </c>
      <c r="C53" t="str" xml:space="preserve">
        <f xml:space="preserve">IF(COUNT(L53, M53, N53)=0, "데이터 없음", 
  IF(MIN(L53, M53, N53)=L53, $L$2, 
  IF(MIN(L53, M53, N53)=M53, $M$2, $N$2)))</f>
        <v>세븐</v>
      </c>
      <c r="D53">
        <f>IF(COUNT(L53, M53, N53)=0, "", MIN(L53, M53, N53))</f>
        <v>999999</v>
      </c>
      <c r="E53" t="str">
        <v>더롱독 로제 187ml</v>
      </c>
      <c r="F53" t="str">
        <f>IFERROR(LEFT(E53, SEARCH("^^", SUBSTITUTE(E53, " ", "^^", LEN(E53)-LEN(SUBSTITUTE(E53, " ", ""))))-1), E53)</f>
        <v>더롱독 로제</v>
      </c>
      <c r="G53" t="str">
        <f>TRIM(RIGHT(SUBSTITUTE(E53, " ", REPT(" ", 100)), 100))</f>
        <v>187ml</v>
      </c>
      <c r="H53">
        <v>10</v>
      </c>
      <c r="I53">
        <v>4114</v>
      </c>
      <c r="J53">
        <v>7000</v>
      </c>
      <c r="K53">
        <f>(J53-I53)/J53</f>
        <v>0.4122857143</v>
      </c>
      <c r="M53">
        <v>999999</v>
      </c>
      <c r="N53">
        <v>999999</v>
      </c>
    </row>
    <row r="54" xml:space="preserve">
      <c r="B54" t="str">
        <v>8809136182107</v>
      </c>
      <c r="C54" t="str" xml:space="preserve">
        <f xml:space="preserve">IF(COUNT(L54, M54, N54)=0, "데이터 없음", 
  IF(MIN(L54, M54, N54)=L54, $L$2, 
  IF(MIN(L54, M54, N54)=M54, $M$2, $N$2)))</f>
        <v>생필체인</v>
      </c>
      <c r="D54">
        <f>IF(COUNT(L54, M54, N54)=0, "", MIN(L54, M54, N54))</f>
        <v>44990</v>
      </c>
      <c r="E54" t="str">
        <v>골든블루17년Set 450ml</v>
      </c>
      <c r="F54" t="str">
        <f>IFERROR(LEFT(E54, SEARCH("^^", SUBSTITUTE(E54, " ", "^^", LEN(E54)-LEN(SUBSTITUTE(E54, " ", ""))))-1), E54)</f>
        <v>골든블루17년Set</v>
      </c>
      <c r="G54" t="str">
        <f>TRIM(RIGHT(SUBSTITUTE(E54, " ", REPT(" ", 100)), 100))</f>
        <v>450ml</v>
      </c>
      <c r="H54">
        <v>1</v>
      </c>
      <c r="I54">
        <f>40900*1.1</f>
        <v>44990</v>
      </c>
      <c r="J54">
        <v>115000</v>
      </c>
      <c r="K54">
        <f>(J54-I54)/J54</f>
        <v>0.6087826087</v>
      </c>
      <c r="N54">
        <f>40900*1.1</f>
        <v>44990</v>
      </c>
    </row>
    <row r="55" xml:space="preserve">
      <c r="B55" t="str">
        <v>8801079411108</v>
      </c>
      <c r="C55" t="str" xml:space="preserve">
        <f xml:space="preserve">IF(COUNT(L55, M55, N55)=0, "데이터 없음", 
  IF(MIN(L55, M55, N55)=L55, $L$2, 
  IF(MIN(L55, M55, N55)=M55, $M$2, $N$2)))</f>
        <v>생필체인</v>
      </c>
      <c r="D55">
        <f>IF(COUNT(L55, M55, N55)=0, "", MIN(L55, M55, N55))</f>
        <v>1536.45</v>
      </c>
      <c r="E55" t="str">
        <v>경주법주원컵 200ml</v>
      </c>
      <c r="F55" t="str">
        <f>IFERROR(LEFT(E55, SEARCH("^^", SUBSTITUTE(E55, " ", "^^", LEN(E55)-LEN(SUBSTITUTE(E55, " ", ""))))-1), E55)</f>
        <v>경주법주원컵</v>
      </c>
      <c r="G55" t="str">
        <f>TRIM(RIGHT(SUBSTITUTE(E55, " ", REPT(" ", 100)), 100))</f>
        <v>200ml</v>
      </c>
      <c r="H55">
        <v>20</v>
      </c>
      <c r="I55">
        <f>30729/20</f>
        <v>1536.45</v>
      </c>
      <c r="J55">
        <v>4000</v>
      </c>
      <c r="K55">
        <f>(J55-I55)/J55</f>
        <v>0.6158875</v>
      </c>
      <c r="N55">
        <f>30729/20</f>
        <v>1536.45</v>
      </c>
      <c r="O55" t="str">
        <v>생필 20개</v>
      </c>
    </row>
    <row r="56" xml:space="preserve">
      <c r="C56" t="str" xml:space="preserve">
        <f xml:space="preserve">IF(COUNT(L56, M56, N56)=0, "데이터 없음", 
  IF(MIN(L56, M56, N56)=L56, $L$2, 
  IF(MIN(L56, M56, N56)=M56, $M$2, $N$2)))</f>
        <v>데이터 없음</v>
      </c>
      <c r="D56" t="str">
        <f>IF(COUNT(L56, M56, N56)=0, "", MIN(L56, M56, N56))</f>
        <v/>
      </c>
      <c r="E56" t="str">
        <v>간바레오또상 300ml</v>
      </c>
      <c r="F56" t="str">
        <f>IFERROR(LEFT(E56, SEARCH("^^", SUBSTITUTE(E56, " ", "^^", LEN(E56)-LEN(SUBSTITUTE(E56, " ", ""))))-1), E56)</f>
        <v>간바레오또상</v>
      </c>
      <c r="G56" t="str">
        <f>TRIM(RIGHT(SUBSTITUTE(E56, " ", REPT(" ", 100)), 100))</f>
        <v>300ml</v>
      </c>
      <c r="H56">
        <v>6</v>
      </c>
      <c r="I56">
        <v>7865</v>
      </c>
      <c r="J56">
        <v>15000</v>
      </c>
      <c r="K56">
        <f>(J56-I56)/J56</f>
        <v>0.4756666667</v>
      </c>
    </row>
    <row r="57" xml:space="preserve">
      <c r="C57" t="str" xml:space="preserve">
        <f xml:space="preserve">IF(COUNT(L57, M57, N57)=0, "데이터 없음", 
  IF(MIN(L57, M57, N57)=L57, $L$2, 
  IF(MIN(L57, M57, N57)=M57, $M$2, $N$2)))</f>
        <v>세븐</v>
      </c>
      <c r="D57">
        <f>IF(COUNT(L57, M57, N57)=0, "", MIN(L57, M57, N57))</f>
        <v>12670</v>
      </c>
      <c r="E57" t="str">
        <v>간바레오또상 900ml</v>
      </c>
      <c r="F57" t="str">
        <f>IFERROR(LEFT(E57, SEARCH("^^", SUBSTITUTE(E57, " ", "^^", LEN(E57)-LEN(SUBSTITUTE(E57, " ", ""))))-1), E57)</f>
        <v>간바레오또상</v>
      </c>
      <c r="G57" t="str">
        <f>TRIM(RIGHT(SUBSTITUTE(E57, " ", REPT(" ", 100)), 100))</f>
        <v>900ml</v>
      </c>
      <c r="I57">
        <v>12670</v>
      </c>
      <c r="J57">
        <v>25000</v>
      </c>
      <c r="K57">
        <f>(J57-I57)/J57</f>
        <v>0.4932</v>
      </c>
      <c r="M57">
        <v>12670</v>
      </c>
      <c r="N57">
        <v>16100</v>
      </c>
    </row>
    <row r="58" xml:space="preserve">
      <c r="B58">
        <v>8806142702831</v>
      </c>
      <c r="C58" t="str" xml:space="preserve">
        <f xml:space="preserve">IF(COUNT(L58, M58, N58)=0, "데이터 없음", 
  IF(MIN(L58, M58, N58)=L58, $L$2, 
  IF(MIN(L58, M58, N58)=M58, $M$2, $N$2)))</f>
        <v>세븐</v>
      </c>
      <c r="D58">
        <f>IF(COUNT(L58, M58, N58)=0, "", MIN(L58, M58, N58))</f>
        <v>8534</v>
      </c>
      <c r="E58" t="str">
        <v>7]디아블로 카베르네 소비뇽 750ml</v>
      </c>
      <c r="F58" t="str">
        <f>IFERROR(LEFT(E58, SEARCH("^^", SUBSTITUTE(E58, " ", "^^", LEN(E58)-LEN(SUBSTITUTE(E58, " ", ""))))-1), E58)</f>
        <v>7]디아블로 카베르네 소비뇽</v>
      </c>
      <c r="G58" t="str">
        <f>TRIM(RIGHT(SUBSTITUTE(E58, " ", REPT(" ", 100)), 100))</f>
        <v>750ml</v>
      </c>
      <c r="H58">
        <v>2</v>
      </c>
      <c r="I58">
        <f>MIN(L58:M58)</f>
        <v>8534</v>
      </c>
      <c r="J58">
        <v>24000</v>
      </c>
      <c r="K58">
        <f>(J58-I58)/J58</f>
        <v>0.6444166667</v>
      </c>
      <c r="L58">
        <v>11341</v>
      </c>
      <c r="M58">
        <v>8534</v>
      </c>
    </row>
    <row r="61">
      <c r="B61" t="str">
        <v>부성 주문</v>
      </c>
    </row>
    <row r="62">
      <c r="B62" t="str">
        <v>바코드</v>
      </c>
      <c r="E62" t="str">
        <v>품목</v>
      </c>
      <c r="H62" t="str">
        <v>수량</v>
      </c>
    </row>
    <row r="76">
      <c r="B76" t="str">
        <v>세븐 주문</v>
      </c>
    </row>
    <row r="77">
      <c r="B77" t="str">
        <v>바코드</v>
      </c>
      <c r="E77" t="str">
        <v>품목</v>
      </c>
      <c r="H77" t="str">
        <v>수량</v>
      </c>
    </row>
  </sheetData>
  <autoFilter ref="$B$2:$N$58"/>
  <ignoredErrors>
    <ignoredError numberStoredAsText="1" sqref="B1:P10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R65"/>
  <sheetViews>
    <sheetView workbookViewId="0"/>
  </sheetViews>
  <sheetData>
    <row r="1">
      <c r="O1" t="str">
        <v>박스 매입</v>
      </c>
    </row>
    <row r="2">
      <c r="B2" t="str">
        <v>코드</v>
      </c>
      <c r="C2" t="str">
        <v>품명</v>
      </c>
      <c r="D2" t="str">
        <v>수량</v>
      </c>
      <c r="E2" t="str">
        <v>매입가</v>
      </c>
      <c r="F2" t="str">
        <v>판매가</v>
      </c>
      <c r="G2" t="str">
        <v>수익율</v>
      </c>
      <c r="H2" t="str">
        <v>금액</v>
      </c>
      <c r="I2" t="str">
        <v>분류</v>
      </c>
      <c r="J2" t="str">
        <v>수익</v>
      </c>
      <c r="K2" t="str">
        <v>수익률</v>
      </c>
      <c r="L2" t="str">
        <v>현재 재고</v>
      </c>
      <c r="M2" t="str">
        <v>비고</v>
      </c>
      <c r="O2" t="str">
        <v>부성 매입가</v>
      </c>
      <c r="P2" t="str">
        <v>세븐 매입가</v>
      </c>
      <c r="Q2" t="str">
        <v>생필 매입가</v>
      </c>
    </row>
    <row r="3">
      <c r="B3">
        <v>8809158901526</v>
      </c>
      <c r="C3" t="str">
        <v>화요41 375ml</v>
      </c>
      <c r="D3">
        <v>1</v>
      </c>
      <c r="E3">
        <f>MIN(O3:P3)</f>
        <v>17600</v>
      </c>
      <c r="F3">
        <v>29000</v>
      </c>
      <c r="G3">
        <f>(F3-E3)/F3</f>
        <v>0.3931034483</v>
      </c>
      <c r="L3">
        <v>-6</v>
      </c>
      <c r="M3" t="str">
        <v>SP)</v>
      </c>
      <c r="O3">
        <v>17600</v>
      </c>
      <c r="R3" t="str">
        <v>생필체인</v>
      </c>
    </row>
    <row r="4">
      <c r="B4">
        <v>8809158902424</v>
      </c>
      <c r="C4" t="str">
        <v>화요25 375ml</v>
      </c>
      <c r="D4">
        <v>2</v>
      </c>
      <c r="E4">
        <f>MIN(O4:P4)</f>
        <v>8100</v>
      </c>
      <c r="F4">
        <v>13500</v>
      </c>
      <c r="G4">
        <f>(F4-E4)/F4</f>
        <v>0.4</v>
      </c>
      <c r="L4">
        <v>-13</v>
      </c>
      <c r="M4" t="str">
        <v>SP)</v>
      </c>
      <c r="O4">
        <v>8910</v>
      </c>
      <c r="P4">
        <v>8100</v>
      </c>
      <c r="Q4">
        <f>49091*1.1/6</f>
        <v>9000.016667</v>
      </c>
      <c r="R4" t="str">
        <v>생필체인</v>
      </c>
    </row>
    <row r="5">
      <c r="B5">
        <v>8809380368098</v>
      </c>
      <c r="C5" t="str">
        <v>텍스트북 나파 까.쇼750ml</v>
      </c>
      <c r="D5">
        <v>1</v>
      </c>
      <c r="E5">
        <f>MIN(O5:P5)</f>
        <v>41000</v>
      </c>
      <c r="F5">
        <v>78000</v>
      </c>
      <c r="G5">
        <f>(F5-E5)/F5</f>
        <v>0.4743589744</v>
      </c>
      <c r="L5">
        <v>-5</v>
      </c>
      <c r="M5" t="str">
        <v>BS)</v>
      </c>
      <c r="O5">
        <v>56100</v>
      </c>
      <c r="P5">
        <v>41000</v>
      </c>
      <c r="Q5">
        <v>3</v>
      </c>
    </row>
    <row r="6">
      <c r="B6">
        <v>5000267025209</v>
      </c>
      <c r="C6" t="str">
        <v>조니워커 블랙 라벨 200ml</v>
      </c>
      <c r="D6">
        <v>5</v>
      </c>
      <c r="E6">
        <f>MIN(O6:P6)</f>
        <v>12420</v>
      </c>
      <c r="F6">
        <v>19900</v>
      </c>
      <c r="G6">
        <f>(F6-E6)/F6</f>
        <v>0.375879397</v>
      </c>
      <c r="L6">
        <v>-26</v>
      </c>
      <c r="N6">
        <v>2</v>
      </c>
      <c r="O6">
        <v>13662</v>
      </c>
      <c r="P6">
        <v>12420</v>
      </c>
      <c r="Q6">
        <v>3</v>
      </c>
    </row>
    <row r="7">
      <c r="B7">
        <v>5000267014401</v>
      </c>
      <c r="C7" t="str">
        <v>조니워커 레드라벨 500ml</v>
      </c>
      <c r="D7">
        <v>1</v>
      </c>
      <c r="E7">
        <f>MIN(O7:P7)</f>
        <v>20090</v>
      </c>
      <c r="F7">
        <v>32500</v>
      </c>
      <c r="G7">
        <f>(F7-E7)/F7</f>
        <v>0.3818461538</v>
      </c>
      <c r="L7">
        <v>-2</v>
      </c>
      <c r="O7">
        <v>22099</v>
      </c>
      <c r="P7">
        <v>20090</v>
      </c>
      <c r="Q7">
        <v>1</v>
      </c>
    </row>
    <row r="8">
      <c r="B8">
        <v>5000267015200</v>
      </c>
      <c r="C8" t="str">
        <v>조니워커 레드 라벨 200ml</v>
      </c>
      <c r="D8">
        <v>4</v>
      </c>
      <c r="E8">
        <f>MIN(O8:P8)</f>
        <v>7740</v>
      </c>
      <c r="F8">
        <v>12900</v>
      </c>
      <c r="G8">
        <f>(F8-E8)/F8</f>
        <v>0.4</v>
      </c>
      <c r="L8">
        <v>-18</v>
      </c>
      <c r="N8">
        <v>2</v>
      </c>
      <c r="O8">
        <v>8514</v>
      </c>
      <c r="P8">
        <v>7740</v>
      </c>
      <c r="Q8">
        <v>2</v>
      </c>
    </row>
    <row r="9">
      <c r="B9">
        <v>5099873060711</v>
      </c>
      <c r="C9" t="str">
        <v>잭다니엘스허니200ml</v>
      </c>
      <c r="D9">
        <v>4</v>
      </c>
      <c r="E9">
        <f>MIN(O9:P9)</f>
        <v>9800</v>
      </c>
      <c r="F9">
        <v>17900</v>
      </c>
      <c r="G9">
        <f>(F9-E9)/F9</f>
        <v>0.4525139665</v>
      </c>
      <c r="L9">
        <v>-22</v>
      </c>
      <c r="M9" t="str">
        <v>7)</v>
      </c>
      <c r="O9">
        <v>13750</v>
      </c>
      <c r="P9">
        <v>9800</v>
      </c>
      <c r="Q9">
        <v>2</v>
      </c>
    </row>
    <row r="10">
      <c r="B10">
        <v>5099873046173</v>
      </c>
      <c r="C10" t="str">
        <v>잭다니엘 블랙200ml</v>
      </c>
      <c r="D10">
        <v>5</v>
      </c>
      <c r="E10">
        <f>MIN(O10:P10)</f>
        <v>9800</v>
      </c>
      <c r="F10">
        <v>17900</v>
      </c>
      <c r="G10">
        <f>(F10-E10)/F10</f>
        <v>0.4525139665</v>
      </c>
      <c r="L10">
        <v>-29</v>
      </c>
      <c r="M10" t="str">
        <v>7)</v>
      </c>
      <c r="O10">
        <v>13750</v>
      </c>
      <c r="P10">
        <v>9800</v>
      </c>
      <c r="Q10">
        <v>3</v>
      </c>
    </row>
    <row r="11">
      <c r="B11">
        <v>8809861950101</v>
      </c>
      <c r="C11" t="str">
        <v>원소주] 클래식 375ml</v>
      </c>
      <c r="D11">
        <v>1</v>
      </c>
      <c r="E11">
        <f>MIN(O11:P11)</f>
        <v>0</v>
      </c>
      <c r="F11">
        <v>21900</v>
      </c>
      <c r="G11">
        <f>(F11-E11)/F11</f>
        <v>1</v>
      </c>
      <c r="L11">
        <v>-6</v>
      </c>
    </row>
    <row r="12">
      <c r="B12">
        <v>8802340165751</v>
      </c>
      <c r="C12" t="str">
        <v>옐로우테일 쉬라즈 187ML</v>
      </c>
      <c r="D12">
        <v>6</v>
      </c>
      <c r="E12">
        <f>MIN(O12:P12)</f>
        <v>2800</v>
      </c>
      <c r="F12">
        <v>6000</v>
      </c>
      <c r="G12">
        <f>(F12-E12)/F12</f>
        <v>0.5333333333</v>
      </c>
      <c r="L12">
        <v>-33</v>
      </c>
      <c r="O12">
        <v>3190</v>
      </c>
      <c r="P12">
        <v>2800</v>
      </c>
      <c r="Q12">
        <v>5</v>
      </c>
    </row>
    <row r="13">
      <c r="B13">
        <v>8802340245613</v>
      </c>
      <c r="C13" t="str">
        <v>옐로우테일 까소 187ML</v>
      </c>
      <c r="D13">
        <v>4</v>
      </c>
      <c r="E13">
        <f>MIN(O13:P13)</f>
        <v>2800</v>
      </c>
      <c r="F13">
        <v>6000</v>
      </c>
      <c r="G13">
        <f>(F13-E13)/F13</f>
        <v>0.5333333333</v>
      </c>
      <c r="L13">
        <v>-23</v>
      </c>
      <c r="O13">
        <v>3190</v>
      </c>
      <c r="P13">
        <v>2800</v>
      </c>
      <c r="Q13">
        <v>5</v>
      </c>
    </row>
    <row r="14">
      <c r="B14">
        <v>5942084507356</v>
      </c>
      <c r="C14" t="str">
        <v>솔라라레드750ml</v>
      </c>
      <c r="D14">
        <v>1</v>
      </c>
      <c r="E14">
        <f>MIN(O14:P14)</f>
        <v>18700</v>
      </c>
      <c r="F14">
        <v>34000</v>
      </c>
      <c r="G14">
        <f>(F14-E14)/F14</f>
        <v>0.45</v>
      </c>
      <c r="L14">
        <v>-5</v>
      </c>
      <c r="M14" t="str">
        <v>BS)</v>
      </c>
      <c r="N14">
        <v>1</v>
      </c>
      <c r="O14">
        <v>18700</v>
      </c>
    </row>
    <row r="15">
      <c r="B15">
        <v>5942084507134</v>
      </c>
      <c r="C15" t="str">
        <v>솔라라 로제750ml</v>
      </c>
      <c r="D15">
        <v>1</v>
      </c>
      <c r="E15">
        <f>MIN(O15:P15)</f>
        <v>11000</v>
      </c>
      <c r="F15">
        <v>25000</v>
      </c>
      <c r="G15">
        <f>(F15-E15)/F15</f>
        <v>0.56</v>
      </c>
      <c r="L15">
        <v>-6</v>
      </c>
      <c r="M15" t="str">
        <v>BS)</v>
      </c>
      <c r="N15">
        <v>1</v>
      </c>
      <c r="O15">
        <v>11000</v>
      </c>
    </row>
    <row r="16">
      <c r="B16">
        <v>8004385034201</v>
      </c>
      <c r="C16" t="str">
        <v>빌라욜란다 모스카토 다스티750ml</v>
      </c>
      <c r="D16">
        <v>3</v>
      </c>
      <c r="E16">
        <f>MIN(O16:P16)</f>
        <v>16830</v>
      </c>
      <c r="F16">
        <v>29000</v>
      </c>
      <c r="G16">
        <f>(F16-E16)/F16</f>
        <v>0.4196551724</v>
      </c>
      <c r="L16">
        <v>-12</v>
      </c>
      <c r="M16" t="str">
        <v>BS)</v>
      </c>
      <c r="N16">
        <v>2</v>
      </c>
      <c r="O16">
        <v>16830</v>
      </c>
    </row>
    <row r="17">
      <c r="B17">
        <v>80480301033</v>
      </c>
      <c r="C17" t="str">
        <v>봄베이사파이어375ml</v>
      </c>
      <c r="D17">
        <v>2</v>
      </c>
      <c r="E17">
        <f>MIN(O17:P17)</f>
        <v>13900</v>
      </c>
      <c r="F17">
        <v>27000</v>
      </c>
      <c r="G17">
        <f>(F17-E17)/F17</f>
        <v>0.4851851852</v>
      </c>
      <c r="L17">
        <v>-9</v>
      </c>
      <c r="O17">
        <v>17270</v>
      </c>
      <c r="P17">
        <v>13900</v>
      </c>
    </row>
    <row r="18">
      <c r="B18">
        <v>8801147121847</v>
      </c>
      <c r="C18" t="str">
        <v>보해복분자</v>
      </c>
      <c r="D18">
        <v>3</v>
      </c>
      <c r="E18">
        <f>MIN(O18:P18)</f>
        <v>5597</v>
      </c>
      <c r="F18">
        <v>10200</v>
      </c>
      <c r="G18">
        <f>(F18-E18)/F18</f>
        <v>0.4512745098</v>
      </c>
      <c r="L18">
        <v>-3</v>
      </c>
      <c r="M18" t="str">
        <v>7)</v>
      </c>
      <c r="O18">
        <v>6156</v>
      </c>
      <c r="P18">
        <v>5597</v>
      </c>
      <c r="Q18">
        <v>3</v>
      </c>
    </row>
    <row r="19">
      <c r="B19">
        <v>5000299628652</v>
      </c>
      <c r="C19" t="str">
        <v>발렌타인10년 200ml</v>
      </c>
      <c r="D19">
        <v>2</v>
      </c>
      <c r="E19">
        <f>MIN(O19:P19)</f>
        <v>9900</v>
      </c>
      <c r="F19">
        <v>16900</v>
      </c>
      <c r="G19">
        <f>(F19-E19)/F19</f>
        <v>0.4142011834</v>
      </c>
      <c r="L19">
        <v>-8</v>
      </c>
      <c r="O19">
        <v>21769</v>
      </c>
      <c r="P19">
        <v>9900</v>
      </c>
      <c r="Q19">
        <v>3</v>
      </c>
    </row>
    <row r="20">
      <c r="B20">
        <v>8410024710960</v>
      </c>
      <c r="C20" t="str">
        <v>말리부700ml</v>
      </c>
      <c r="D20">
        <v>2</v>
      </c>
      <c r="E20">
        <f>MIN(O20:P20)</f>
        <v>23909</v>
      </c>
      <c r="F20">
        <v>38000</v>
      </c>
      <c r="G20">
        <f>(F20-E20)/F20</f>
        <v>0.3708157895</v>
      </c>
      <c r="L20">
        <v>-8</v>
      </c>
      <c r="M20" t="str">
        <v>BS)</v>
      </c>
      <c r="N20">
        <v>2</v>
      </c>
      <c r="O20">
        <v>23909</v>
      </c>
    </row>
    <row r="21">
      <c r="B21">
        <v>3175529650962</v>
      </c>
      <c r="C21" t="str">
        <v>로쉐마제 쌩쏘 그르나슈</v>
      </c>
      <c r="D21">
        <v>3</v>
      </c>
      <c r="E21">
        <f>MIN(O21:P21)</f>
        <v>3182</v>
      </c>
      <c r="F21">
        <v>8000</v>
      </c>
      <c r="G21">
        <f>(F21-E21)/F21</f>
        <v>0.60225</v>
      </c>
      <c r="L21">
        <v>-10</v>
      </c>
      <c r="O21">
        <v>5610</v>
      </c>
      <c r="P21">
        <v>3182</v>
      </c>
      <c r="Q21">
        <v>2</v>
      </c>
    </row>
    <row r="22">
      <c r="B22">
        <v>8806142702831</v>
      </c>
      <c r="C22" t="str">
        <v>7]디아블로 카베르네 소비뇽</v>
      </c>
      <c r="D22">
        <v>3</v>
      </c>
      <c r="E22">
        <f>MIN(O22:P22)</f>
        <v>8534</v>
      </c>
      <c r="F22">
        <v>24000</v>
      </c>
      <c r="G22">
        <f>(F22-E22)/F22</f>
        <v>0.6444166667</v>
      </c>
      <c r="L22">
        <v>-11</v>
      </c>
      <c r="M22" t="str">
        <v>BS)</v>
      </c>
      <c r="O22">
        <v>11341</v>
      </c>
      <c r="P22">
        <v>8534</v>
      </c>
      <c r="Q22">
        <v>1</v>
      </c>
    </row>
    <row r="23">
      <c r="B23">
        <v>8809709252206</v>
      </c>
      <c r="C23" t="str">
        <v>돈나푸가타 앙겔리750ml</v>
      </c>
      <c r="D23">
        <v>2</v>
      </c>
      <c r="E23">
        <f>MIN(O23:P23)</f>
        <v>41800</v>
      </c>
      <c r="F23">
        <v>62000</v>
      </c>
      <c r="G23">
        <f>(F23-E23)/F23</f>
        <v>0.3258064516</v>
      </c>
      <c r="L23">
        <v>-5</v>
      </c>
      <c r="M23" t="str">
        <v>BS)</v>
      </c>
      <c r="N23">
        <v>1</v>
      </c>
      <c r="O23">
        <v>41800</v>
      </c>
    </row>
    <row r="24">
      <c r="B24">
        <v>8809267520793</v>
      </c>
      <c r="C24" t="str">
        <v>G7 까베르네 소비뇽 750ml</v>
      </c>
      <c r="D24">
        <v>3</v>
      </c>
      <c r="E24">
        <f>MIN(O24:P24)</f>
        <v>5350</v>
      </c>
      <c r="F24">
        <v>18000</v>
      </c>
      <c r="G24">
        <f>(F24-E24)/F24</f>
        <v>0.7027777778</v>
      </c>
      <c r="L24">
        <v>-14</v>
      </c>
      <c r="N24">
        <v>2</v>
      </c>
      <c r="O24">
        <v>7260</v>
      </c>
      <c r="P24">
        <v>5350</v>
      </c>
      <c r="Q24">
        <v>1</v>
      </c>
    </row>
    <row r="25">
      <c r="B25" t="str">
        <v xml:space="preserve">3566921002990  </v>
      </c>
      <c r="C25" t="str">
        <v>BS)루이라뚜르 피노누아 레피에르 도레750m</v>
      </c>
      <c r="D25">
        <v>1</v>
      </c>
      <c r="E25">
        <f>MIN(O25:P25)</f>
        <v>40112</v>
      </c>
      <c r="F25">
        <v>62000</v>
      </c>
      <c r="G25">
        <f>(F25-E25)/F25</f>
        <v>0.3530322581</v>
      </c>
      <c r="H25">
        <v>55000</v>
      </c>
      <c r="I25" t="str">
        <v>와인(대)</v>
      </c>
      <c r="J25">
        <v>14888</v>
      </c>
      <c r="K25">
        <v>27.06909090909091</v>
      </c>
      <c r="L25">
        <v>-7</v>
      </c>
      <c r="M25" t="str">
        <v>BS)</v>
      </c>
      <c r="N25">
        <v>1</v>
      </c>
      <c r="O25">
        <v>40112</v>
      </c>
    </row>
    <row r="26">
      <c r="B26" t="str">
        <v xml:space="preserve">089744765857   </v>
      </c>
      <c r="C26" t="str">
        <v xml:space="preserve">마뱅] 리유니트 피치 모스카토            </v>
      </c>
      <c r="D26">
        <v>1</v>
      </c>
      <c r="E26">
        <f>MIN(O26:P26)</f>
        <v>9680</v>
      </c>
      <c r="F26">
        <v>14900</v>
      </c>
      <c r="G26">
        <f>(F26-E26)/F26</f>
        <v>0.3503355705</v>
      </c>
      <c r="H26">
        <v>14900</v>
      </c>
      <c r="I26" t="str">
        <v>와인(대)</v>
      </c>
      <c r="J26">
        <v>4731</v>
      </c>
      <c r="K26">
        <v>31.751677852348994</v>
      </c>
      <c r="L26">
        <v>-15</v>
      </c>
      <c r="N26">
        <v>2</v>
      </c>
      <c r="O26">
        <v>9680</v>
      </c>
    </row>
    <row r="27">
      <c r="C27" t="str">
        <v>화요 19금</v>
      </c>
      <c r="E27">
        <f>MIN(O27:P27)</f>
        <v>0</v>
      </c>
      <c r="G27" t="str">
        <f>(F27-E27)/F27</f>
        <v>#DIV/0!</v>
      </c>
      <c r="Q27">
        <f>45455*1.1/6</f>
        <v>8333.416667</v>
      </c>
    </row>
    <row r="28">
      <c r="B28">
        <v>4058222100400</v>
      </c>
      <c r="C28" t="str">
        <v>BS 인디] 로트 캡션 로제 샴페인 750ml</v>
      </c>
      <c r="E28">
        <f>MIN(O28:P28)</f>
        <v>9680</v>
      </c>
      <c r="G28" t="str">
        <f>(F28-E28)/F28</f>
        <v>#DIV/0!</v>
      </c>
      <c r="O28">
        <v>9680</v>
      </c>
    </row>
    <row r="29">
      <c r="B29">
        <v>689352009925</v>
      </c>
      <c r="C29" t="str">
        <v>BS) 킴 크로포드 말보로 쇼비뇽 블랑</v>
      </c>
      <c r="E29">
        <f>MIN(O29:P29)</f>
        <v>27588</v>
      </c>
      <c r="F29">
        <v>43000</v>
      </c>
      <c r="G29">
        <f>(F29-E29)/F29</f>
        <v>0.3584186047</v>
      </c>
      <c r="O29">
        <v>27588</v>
      </c>
    </row>
    <row r="30">
      <c r="B30">
        <v>7804320561431</v>
      </c>
      <c r="C30" t="str">
        <v>BS)디아블로 데블스 콜렉션750ml</v>
      </c>
      <c r="E30">
        <f>MIN(O30:P30)</f>
        <v>17666</v>
      </c>
      <c r="F30">
        <v>29000</v>
      </c>
      <c r="G30">
        <f>(F30-E30)/F30</f>
        <v>0.3908275862</v>
      </c>
      <c r="O30">
        <v>17666</v>
      </c>
    </row>
    <row r="31">
      <c r="B31">
        <v>8004385028620</v>
      </c>
      <c r="C31" t="str">
        <v>BS)빌라욜란다 모스카토 로제750ml</v>
      </c>
      <c r="E31">
        <f>MIN(O31:P31)</f>
        <v>18513</v>
      </c>
      <c r="F31">
        <v>29000</v>
      </c>
      <c r="G31">
        <f>(F31-E31)/F31</f>
        <v>0.3616206897</v>
      </c>
      <c r="O31">
        <v>18513</v>
      </c>
    </row>
    <row r="32">
      <c r="B32">
        <v>89744765659</v>
      </c>
      <c r="C32" t="str">
        <v>마뱅] 리유니트 모스카토</v>
      </c>
      <c r="D32">
        <v>1</v>
      </c>
      <c r="E32">
        <f>MIN(O32:P32)</f>
        <v>9680</v>
      </c>
      <c r="F32">
        <v>18000</v>
      </c>
      <c r="G32">
        <f>(F32-E32)/F32</f>
        <v>0.4622222222</v>
      </c>
      <c r="O32">
        <v>9680</v>
      </c>
    </row>
    <row r="33">
      <c r="B33">
        <v>8000548005040</v>
      </c>
      <c r="C33" t="str">
        <v>발비소프라니아스티 750ml</v>
      </c>
      <c r="D33">
        <v>1</v>
      </c>
      <c r="E33">
        <f>MIN(O33:P33)</f>
        <v>19360</v>
      </c>
      <c r="F33">
        <v>31000</v>
      </c>
      <c r="G33">
        <f>(F33-E33)/F33</f>
        <v>0.375483871</v>
      </c>
      <c r="O33">
        <v>19360</v>
      </c>
    </row>
    <row r="34">
      <c r="C34" t="str">
        <v>간바레오또상 900ml</v>
      </c>
      <c r="G34" t="str">
        <f>(F34-E34)/F34</f>
        <v>#DIV/0!</v>
      </c>
      <c r="P34">
        <v>12670</v>
      </c>
    </row>
    <row r="35">
      <c r="B35">
        <v>9348423000261</v>
      </c>
      <c r="C35" t="str">
        <v>타임]와인글라스 모스카토 187ml</v>
      </c>
      <c r="D35">
        <v>6</v>
      </c>
      <c r="G35" t="str">
        <f>(F35-E35)/F35</f>
        <v>#DIV/0!</v>
      </c>
      <c r="P35">
        <v>2800</v>
      </c>
    </row>
    <row r="36">
      <c r="C36" t="str">
        <v>BS 인디] 로트 캡션 뀌베 브뤼 750ml</v>
      </c>
      <c r="D36">
        <v>1</v>
      </c>
      <c r="G36" t="str">
        <f>(F36-E36)/F36</f>
        <v>#DIV/0!</v>
      </c>
    </row>
    <row r="37">
      <c r="B37" t="str">
        <v xml:space="preserve">8809267520809  </v>
      </c>
      <c r="C37" t="str">
        <v xml:space="preserve">G7 샤르도네 750ml                       </v>
      </c>
      <c r="E37">
        <v>7018</v>
      </c>
      <c r="F37">
        <v>18000</v>
      </c>
      <c r="G37">
        <f>(F37-E37)/F37</f>
        <v>0.6101111111</v>
      </c>
    </row>
    <row r="42">
      <c r="B42" t="str">
        <v>부성 주문</v>
      </c>
    </row>
    <row r="43">
      <c r="B43" t="str">
        <v>바코드</v>
      </c>
      <c r="C43" t="str">
        <v>품목</v>
      </c>
      <c r="D43" t="str">
        <v>수량</v>
      </c>
    </row>
    <row r="44">
      <c r="B44" t="str">
        <v xml:space="preserve">089744765857   </v>
      </c>
      <c r="C44" t="str">
        <v xml:space="preserve">마뱅] 리유니트 피치 모스카토            </v>
      </c>
      <c r="D44">
        <v>1</v>
      </c>
    </row>
    <row r="45">
      <c r="B45">
        <v>4058222100400</v>
      </c>
      <c r="C45" t="str">
        <v>BS 인디] 로트 캡션 로제 샴페인 750ml</v>
      </c>
      <c r="D45">
        <v>1</v>
      </c>
    </row>
    <row r="46">
      <c r="B46">
        <v>689352009925</v>
      </c>
      <c r="C46" t="str">
        <v>BS) 킴 크로포드 말보로 쇼비뇽 블랑</v>
      </c>
      <c r="D46">
        <v>1</v>
      </c>
    </row>
    <row r="47">
      <c r="B47">
        <v>7804320561431</v>
      </c>
      <c r="C47" t="str">
        <v>BS)디아블로 데블스 콜렉션750ml</v>
      </c>
      <c r="D47">
        <v>2</v>
      </c>
    </row>
    <row r="48">
      <c r="B48">
        <v>8806142702831</v>
      </c>
      <c r="C48" t="str">
        <v>BS)디아블로 카베르네 소비뇽</v>
      </c>
      <c r="D48">
        <v>3</v>
      </c>
    </row>
    <row r="49">
      <c r="B49">
        <v>3566921002990</v>
      </c>
      <c r="C49" t="str">
        <v>BS)루이라뚜르 피노누아 레피에르 도레750m</v>
      </c>
      <c r="D49">
        <v>1</v>
      </c>
    </row>
    <row r="50">
      <c r="B50">
        <v>8410024710960</v>
      </c>
      <c r="C50" t="str">
        <v>BS)말리부700ml</v>
      </c>
      <c r="D50">
        <v>2</v>
      </c>
    </row>
    <row r="51">
      <c r="B51">
        <v>8004385028620</v>
      </c>
      <c r="C51" t="str">
        <v>BS)빌라욜란다 모스카토 로제750ml</v>
      </c>
      <c r="D51">
        <v>1</v>
      </c>
    </row>
    <row r="52">
      <c r="B52">
        <v>8802340166970</v>
      </c>
      <c r="C52" t="str">
        <v>BS)옐로우테일, 쉬라즈750</v>
      </c>
      <c r="D52">
        <v>1</v>
      </c>
    </row>
    <row r="53">
      <c r="B53">
        <v>8809267520793</v>
      </c>
      <c r="C53" t="str">
        <v>G7 까베르네 소비뇽 750ml</v>
      </c>
      <c r="D53">
        <v>2</v>
      </c>
    </row>
    <row r="54">
      <c r="B54">
        <v>89744765659</v>
      </c>
      <c r="C54" t="str">
        <v>마뱅] 리유니트 모스카토</v>
      </c>
      <c r="D54">
        <v>1</v>
      </c>
    </row>
    <row r="55">
      <c r="B55">
        <v>8000548005040</v>
      </c>
      <c r="C55" t="str">
        <v>발비소프라니아스티 750ml</v>
      </c>
      <c r="D55">
        <v>1</v>
      </c>
    </row>
    <row r="57">
      <c r="B57" t="str">
        <v>세븐 주문</v>
      </c>
    </row>
    <row r="58">
      <c r="B58" t="str">
        <v>바코드</v>
      </c>
      <c r="C58" t="str">
        <v>품목</v>
      </c>
      <c r="D58" t="str">
        <v>수량</v>
      </c>
    </row>
    <row r="59">
      <c r="B59">
        <v>8801147121847</v>
      </c>
      <c r="C59" t="str">
        <v>보해복분자</v>
      </c>
      <c r="D59">
        <v>8</v>
      </c>
    </row>
    <row r="60">
      <c r="C60" t="str">
        <v>간바레오또상 900ml</v>
      </c>
      <c r="D60">
        <v>3</v>
      </c>
    </row>
    <row r="61">
      <c r="B61">
        <v>3175529650962</v>
      </c>
      <c r="C61" t="str">
        <v>로쉐마제 쌩쏘 그르나슈</v>
      </c>
      <c r="D61">
        <v>3</v>
      </c>
    </row>
    <row r="62">
      <c r="B62">
        <v>8802340165751</v>
      </c>
      <c r="C62" t="str">
        <v>옐로우테일 쉬라즈 187ML</v>
      </c>
      <c r="D62">
        <v>2</v>
      </c>
    </row>
    <row r="63">
      <c r="B63">
        <v>8802340245613</v>
      </c>
      <c r="C63" t="str">
        <v>옐로우테일 까소 187ML</v>
      </c>
      <c r="D63">
        <v>2</v>
      </c>
    </row>
    <row r="64">
      <c r="B64">
        <v>9348423000261</v>
      </c>
      <c r="C64" t="str">
        <v>타임]와인글라스 모스카토 187ml</v>
      </c>
      <c r="D64">
        <v>6</v>
      </c>
    </row>
    <row r="65">
      <c r="C65" t="str">
        <v>와인어글라스 4종</v>
      </c>
      <c r="D65" t="str">
        <v>각 3</v>
      </c>
    </row>
  </sheetData>
  <ignoredErrors>
    <ignoredError numberStoredAsText="1" sqref="B1:R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1:Q69"/>
  <sheetViews>
    <sheetView workbookViewId="0"/>
  </sheetViews>
  <sheetData>
    <row r="1">
      <c r="N1" t="str">
        <v>박스 매입</v>
      </c>
    </row>
    <row r="2">
      <c r="B2" t="str">
        <v>코드</v>
      </c>
      <c r="C2" t="str">
        <v>품명</v>
      </c>
      <c r="D2" t="str">
        <v>수량</v>
      </c>
      <c r="E2" t="str">
        <v>매입가</v>
      </c>
      <c r="F2" t="str">
        <v>판매가</v>
      </c>
      <c r="G2" t="str">
        <v>금액</v>
      </c>
      <c r="H2" t="str">
        <v>분류</v>
      </c>
      <c r="I2" t="str">
        <v>수익</v>
      </c>
      <c r="J2" t="str">
        <v>수익률</v>
      </c>
      <c r="K2" t="str">
        <v>현재 재고</v>
      </c>
      <c r="L2" t="str">
        <v>비고</v>
      </c>
      <c r="N2" t="str">
        <v>부성 매입가</v>
      </c>
      <c r="O2" t="str">
        <v>세븐 매입가</v>
      </c>
      <c r="P2" t="str">
        <v>생필 매입가</v>
      </c>
    </row>
    <row r="3">
      <c r="B3">
        <v>8809158901526</v>
      </c>
      <c r="C3" t="str">
        <v>화요41 375ml</v>
      </c>
      <c r="D3">
        <v>1</v>
      </c>
      <c r="E3">
        <v>19777</v>
      </c>
      <c r="F3">
        <v>29000</v>
      </c>
      <c r="K3">
        <v>-6</v>
      </c>
      <c r="L3" t="str">
        <v>SP)</v>
      </c>
      <c r="N3">
        <v>17600</v>
      </c>
      <c r="Q3" t="str">
        <v>생필체인</v>
      </c>
    </row>
    <row r="4">
      <c r="B4">
        <v>8809158902424</v>
      </c>
      <c r="C4" t="str">
        <v>화요25 375ml</v>
      </c>
      <c r="D4">
        <v>2</v>
      </c>
      <c r="E4">
        <v>9000</v>
      </c>
      <c r="F4">
        <v>13500</v>
      </c>
      <c r="K4">
        <v>-13</v>
      </c>
      <c r="L4" t="str">
        <v>SP)</v>
      </c>
      <c r="N4">
        <v>8910</v>
      </c>
      <c r="O4">
        <v>8100</v>
      </c>
      <c r="P4">
        <f>49091*1.1/6</f>
        <v>9000.016667</v>
      </c>
      <c r="Q4" t="str">
        <v>생필체인</v>
      </c>
    </row>
    <row r="5">
      <c r="B5">
        <v>8809380368098</v>
      </c>
      <c r="C5" t="str">
        <v>텍스트북 나파 까.쇼750ml</v>
      </c>
      <c r="D5">
        <v>1</v>
      </c>
      <c r="E5">
        <v>60682</v>
      </c>
      <c r="F5">
        <v>78000</v>
      </c>
      <c r="K5">
        <v>-5</v>
      </c>
      <c r="L5" t="str">
        <v>BS)</v>
      </c>
      <c r="N5">
        <v>56100</v>
      </c>
      <c r="O5">
        <v>41000</v>
      </c>
      <c r="P5">
        <v>3</v>
      </c>
    </row>
    <row r="6">
      <c r="B6">
        <v>5000267025209</v>
      </c>
      <c r="C6" t="str">
        <v>조니워커 블랙 라벨 200ml</v>
      </c>
      <c r="D6">
        <v>5</v>
      </c>
      <c r="E6">
        <v>10560</v>
      </c>
      <c r="F6">
        <v>19900</v>
      </c>
      <c r="K6">
        <v>-26</v>
      </c>
      <c r="M6">
        <v>2</v>
      </c>
      <c r="N6">
        <v>13662</v>
      </c>
      <c r="O6">
        <v>12420</v>
      </c>
      <c r="P6">
        <v>3</v>
      </c>
    </row>
    <row r="7">
      <c r="B7">
        <v>5000267014401</v>
      </c>
      <c r="C7" t="str">
        <v>조니워커 레드라벨 500ml</v>
      </c>
      <c r="D7">
        <v>1</v>
      </c>
      <c r="F7">
        <v>32500</v>
      </c>
      <c r="K7">
        <v>-2</v>
      </c>
      <c r="N7">
        <v>22099</v>
      </c>
      <c r="O7">
        <v>20090</v>
      </c>
      <c r="P7">
        <v>1</v>
      </c>
    </row>
    <row r="8">
      <c r="B8">
        <v>5000267015200</v>
      </c>
      <c r="C8" t="str">
        <v>조니워커 레드 라벨 200ml</v>
      </c>
      <c r="D8">
        <v>4</v>
      </c>
      <c r="E8">
        <v>6200</v>
      </c>
      <c r="F8">
        <v>12900</v>
      </c>
      <c r="K8">
        <v>-18</v>
      </c>
      <c r="M8">
        <v>2</v>
      </c>
      <c r="N8">
        <v>8514</v>
      </c>
      <c r="O8">
        <v>7740</v>
      </c>
      <c r="P8">
        <v>2</v>
      </c>
    </row>
    <row r="9">
      <c r="B9">
        <v>5099873060711</v>
      </c>
      <c r="C9" t="str">
        <v>잭다니엘스허니200ml</v>
      </c>
      <c r="D9">
        <v>4</v>
      </c>
      <c r="F9">
        <v>17900</v>
      </c>
      <c r="K9">
        <v>-22</v>
      </c>
      <c r="L9" t="str">
        <v>7)</v>
      </c>
      <c r="N9">
        <v>13750</v>
      </c>
      <c r="O9">
        <v>9800</v>
      </c>
      <c r="P9">
        <v>2</v>
      </c>
    </row>
    <row r="10">
      <c r="B10">
        <v>5099873046173</v>
      </c>
      <c r="C10" t="str">
        <v>잭다니엘 블랙200ml</v>
      </c>
      <c r="D10">
        <v>5</v>
      </c>
      <c r="F10">
        <v>17900</v>
      </c>
      <c r="K10">
        <v>-29</v>
      </c>
      <c r="L10" t="str">
        <v>7)</v>
      </c>
      <c r="N10">
        <v>13750</v>
      </c>
      <c r="O10">
        <v>9800</v>
      </c>
      <c r="P10">
        <v>3</v>
      </c>
    </row>
    <row r="11">
      <c r="B11">
        <v>8809861950101</v>
      </c>
      <c r="C11" t="str">
        <v>원소주] 클래식 375ml</v>
      </c>
      <c r="D11">
        <v>1</v>
      </c>
      <c r="F11">
        <v>21900</v>
      </c>
      <c r="K11">
        <v>-6</v>
      </c>
    </row>
    <row r="12">
      <c r="B12">
        <v>8802340165751</v>
      </c>
      <c r="C12" t="str">
        <v>옐로우테일 쉬라즈 187ML</v>
      </c>
      <c r="D12">
        <v>6</v>
      </c>
      <c r="F12">
        <v>6000</v>
      </c>
      <c r="K12">
        <v>-33</v>
      </c>
      <c r="N12">
        <v>3190</v>
      </c>
      <c r="O12">
        <v>2800</v>
      </c>
      <c r="P12">
        <v>5</v>
      </c>
    </row>
    <row r="13">
      <c r="B13">
        <v>8802340245613</v>
      </c>
      <c r="C13" t="str">
        <v>옐로우테일 까소 187ML</v>
      </c>
      <c r="D13">
        <v>4</v>
      </c>
      <c r="F13">
        <v>6000</v>
      </c>
      <c r="K13">
        <v>-23</v>
      </c>
      <c r="N13">
        <v>3190</v>
      </c>
      <c r="O13">
        <v>2800</v>
      </c>
      <c r="P13">
        <v>5</v>
      </c>
    </row>
    <row r="14">
      <c r="B14">
        <v>5942084507356</v>
      </c>
      <c r="C14" t="str">
        <v>솔라라레드750ml</v>
      </c>
      <c r="D14">
        <v>1</v>
      </c>
      <c r="F14">
        <v>34000</v>
      </c>
      <c r="K14">
        <v>-5</v>
      </c>
      <c r="L14" t="str">
        <v>BS)</v>
      </c>
      <c r="M14">
        <v>1</v>
      </c>
      <c r="N14">
        <v>18700</v>
      </c>
    </row>
    <row r="15">
      <c r="B15">
        <v>5942084507134</v>
      </c>
      <c r="C15" t="str">
        <v>솔라라 로제750ml</v>
      </c>
      <c r="D15">
        <v>1</v>
      </c>
      <c r="F15">
        <v>25000</v>
      </c>
      <c r="K15">
        <v>-6</v>
      </c>
      <c r="L15" t="str">
        <v>BS)</v>
      </c>
      <c r="M15">
        <v>1</v>
      </c>
      <c r="N15">
        <v>11000</v>
      </c>
    </row>
    <row r="16">
      <c r="B16">
        <v>8004385034201</v>
      </c>
      <c r="C16" t="str">
        <v>빌라욜란다 모스카토 다스티750ml</v>
      </c>
      <c r="D16">
        <v>3</v>
      </c>
      <c r="F16">
        <v>29000</v>
      </c>
      <c r="K16">
        <v>-12</v>
      </c>
      <c r="L16" t="str">
        <v>BS)</v>
      </c>
      <c r="M16">
        <v>2</v>
      </c>
      <c r="N16">
        <v>16830</v>
      </c>
    </row>
    <row r="17">
      <c r="B17">
        <v>80480301033</v>
      </c>
      <c r="C17" t="str">
        <v>봄베이사파이어375ml</v>
      </c>
      <c r="D17">
        <v>2</v>
      </c>
      <c r="F17">
        <v>27000</v>
      </c>
      <c r="K17">
        <v>-9</v>
      </c>
      <c r="N17">
        <v>17270</v>
      </c>
      <c r="O17">
        <v>13900</v>
      </c>
    </row>
    <row r="18">
      <c r="B18">
        <v>8801147121847</v>
      </c>
      <c r="C18" t="str">
        <v>보해복분자</v>
      </c>
      <c r="D18">
        <v>3</v>
      </c>
      <c r="F18">
        <v>10200</v>
      </c>
      <c r="K18">
        <v>-3</v>
      </c>
      <c r="L18" t="str">
        <v>7)</v>
      </c>
      <c r="N18">
        <v>6156</v>
      </c>
      <c r="O18">
        <v>5597</v>
      </c>
      <c r="P18">
        <v>3</v>
      </c>
    </row>
    <row r="19">
      <c r="B19">
        <v>5000299628652</v>
      </c>
      <c r="C19" t="str">
        <v>발렌타인10년 200ml</v>
      </c>
      <c r="D19">
        <v>2</v>
      </c>
      <c r="F19">
        <v>15900</v>
      </c>
      <c r="K19">
        <v>-8</v>
      </c>
      <c r="N19">
        <v>21769</v>
      </c>
      <c r="O19">
        <v>9900</v>
      </c>
      <c r="P19">
        <v>3</v>
      </c>
    </row>
    <row r="20">
      <c r="B20">
        <v>8410024710960</v>
      </c>
      <c r="C20" t="str">
        <v>말리부700ml</v>
      </c>
      <c r="D20">
        <v>2</v>
      </c>
      <c r="F20">
        <v>38000</v>
      </c>
      <c r="K20">
        <v>-8</v>
      </c>
      <c r="L20" t="str">
        <v>BS)</v>
      </c>
      <c r="M20">
        <v>2</v>
      </c>
      <c r="N20">
        <v>21736</v>
      </c>
    </row>
    <row r="21">
      <c r="B21">
        <v>3175529650962</v>
      </c>
      <c r="C21" t="str">
        <v>로쉐마제 쌩쏘 그르나슈</v>
      </c>
      <c r="D21">
        <v>3</v>
      </c>
      <c r="F21">
        <v>8000</v>
      </c>
      <c r="K21">
        <v>-10</v>
      </c>
      <c r="N21">
        <v>5610</v>
      </c>
      <c r="O21">
        <v>4727</v>
      </c>
      <c r="P21">
        <v>2</v>
      </c>
    </row>
    <row r="22">
      <c r="B22">
        <v>8806142702831</v>
      </c>
      <c r="C22" t="str">
        <v>디아블로 카베르네 소비뇽</v>
      </c>
      <c r="D22">
        <v>3</v>
      </c>
      <c r="F22">
        <v>24000</v>
      </c>
      <c r="K22">
        <v>-11</v>
      </c>
      <c r="L22" t="str">
        <v>BS)</v>
      </c>
      <c r="N22">
        <v>10285</v>
      </c>
      <c r="O22">
        <v>8534</v>
      </c>
      <c r="P22">
        <v>1</v>
      </c>
    </row>
    <row r="23">
      <c r="B23">
        <v>8809709252206</v>
      </c>
      <c r="C23" t="str">
        <v>돈나푸가타 앙겔리750ml</v>
      </c>
      <c r="D23">
        <v>2</v>
      </c>
      <c r="F23">
        <v>55000</v>
      </c>
      <c r="K23">
        <v>-5</v>
      </c>
      <c r="L23" t="str">
        <v>BS)</v>
      </c>
      <c r="M23">
        <v>1</v>
      </c>
      <c r="N23">
        <v>41800</v>
      </c>
    </row>
    <row r="24">
      <c r="B24">
        <v>8809267520793</v>
      </c>
      <c r="C24" t="str">
        <v>G7 까베르네 소비뇽 750ml</v>
      </c>
      <c r="D24">
        <v>3</v>
      </c>
      <c r="F24">
        <v>18000</v>
      </c>
      <c r="K24">
        <v>-14</v>
      </c>
      <c r="M24">
        <v>2</v>
      </c>
      <c r="N24">
        <v>6600</v>
      </c>
      <c r="O24">
        <v>5350</v>
      </c>
      <c r="P24">
        <v>1</v>
      </c>
    </row>
    <row r="25">
      <c r="B25" t="str">
        <v xml:space="preserve">3566921002990  </v>
      </c>
      <c r="C25" t="str">
        <v>BS)루이라뚜르 피노누아 레피에르 도레750m</v>
      </c>
      <c r="D25">
        <v>1</v>
      </c>
      <c r="E25">
        <v>40112</v>
      </c>
      <c r="F25">
        <v>55000</v>
      </c>
      <c r="G25">
        <v>55000</v>
      </c>
      <c r="H25" t="str">
        <v>와인(대)</v>
      </c>
      <c r="I25">
        <v>14888</v>
      </c>
      <c r="J25">
        <v>27.06909090909091</v>
      </c>
      <c r="K25">
        <v>-7</v>
      </c>
      <c r="L25" t="str">
        <v>BS)</v>
      </c>
      <c r="M25">
        <v>1</v>
      </c>
    </row>
    <row r="26">
      <c r="B26" t="str">
        <v xml:space="preserve">089744765857   </v>
      </c>
      <c r="C26" t="str">
        <v xml:space="preserve">마뱅] 리유니트 피치 모스카토            </v>
      </c>
      <c r="D26">
        <v>1</v>
      </c>
      <c r="E26">
        <v>10169</v>
      </c>
      <c r="F26">
        <v>14900</v>
      </c>
      <c r="G26">
        <v>14900</v>
      </c>
      <c r="H26" t="str">
        <v>와인(대)</v>
      </c>
      <c r="I26">
        <v>4731</v>
      </c>
      <c r="J26">
        <v>31.751677852348994</v>
      </c>
      <c r="K26">
        <v>-15</v>
      </c>
      <c r="M26">
        <v>2</v>
      </c>
    </row>
    <row r="27">
      <c r="C27" t="str">
        <v>화요 19금</v>
      </c>
      <c r="P27">
        <f>45455*1.1/6</f>
        <v>8333.416667</v>
      </c>
    </row>
    <row r="32">
      <c r="B32" t="str">
        <v>부성 주문</v>
      </c>
    </row>
    <row r="33">
      <c r="B33" t="str">
        <v>바코드</v>
      </c>
      <c r="C33" t="str">
        <v>품목</v>
      </c>
      <c r="D33" t="str">
        <v>수량</v>
      </c>
    </row>
    <row r="34">
      <c r="B34" t="str">
        <v xml:space="preserve">089744765857   </v>
      </c>
      <c r="C34" t="str">
        <v xml:space="preserve">마뱅] 리유니트 피치 모스카토            </v>
      </c>
      <c r="D34">
        <v>2</v>
      </c>
    </row>
    <row r="35">
      <c r="B35" t="str">
        <v xml:space="preserve">3566921002990  </v>
      </c>
      <c r="C35" t="str">
        <v>루이라뚜르 피노누아 레피에르 도레 750ml</v>
      </c>
      <c r="D35">
        <v>1</v>
      </c>
    </row>
    <row r="36">
      <c r="B36">
        <v>8809267520793</v>
      </c>
      <c r="C36" t="str">
        <v>G7 까베르네 소비뇽 750ml</v>
      </c>
      <c r="D36">
        <v>2</v>
      </c>
    </row>
    <row r="37">
      <c r="B37">
        <v>8809709252206</v>
      </c>
      <c r="C37" t="str">
        <v>돈나푸가타 앙겔리750ml</v>
      </c>
      <c r="D37">
        <v>1</v>
      </c>
    </row>
    <row r="38">
      <c r="B38">
        <v>8410024710960</v>
      </c>
      <c r="C38" t="str">
        <v>말리부700ml</v>
      </c>
      <c r="D38">
        <v>1</v>
      </c>
    </row>
    <row r="39">
      <c r="B39">
        <v>5942084507356</v>
      </c>
      <c r="C39" t="str">
        <v>솔라라레드750ml</v>
      </c>
      <c r="D39">
        <v>1</v>
      </c>
    </row>
    <row r="40">
      <c r="B40">
        <v>5942084507134</v>
      </c>
      <c r="C40" t="str">
        <v>솔라라 로제750ml</v>
      </c>
      <c r="D40">
        <v>1</v>
      </c>
    </row>
    <row r="41">
      <c r="B41">
        <v>8004385034201</v>
      </c>
      <c r="C41" t="str">
        <v>빌라욜란다 모스카토 다스티750ml</v>
      </c>
      <c r="D41">
        <v>2</v>
      </c>
    </row>
    <row r="42">
      <c r="B42">
        <v>5000267015200</v>
      </c>
      <c r="C42" t="str">
        <v>조니워커 레드 라벨 200ml</v>
      </c>
      <c r="D42">
        <v>2</v>
      </c>
    </row>
    <row r="43">
      <c r="B43">
        <v>5000267025209</v>
      </c>
      <c r="C43" t="str">
        <v>조니워커 블랙 라벨 200ml</v>
      </c>
      <c r="D43">
        <v>2</v>
      </c>
    </row>
    <row r="44">
      <c r="C44" t="str">
        <v>까르베네 소비뇽 스파클링 로제</v>
      </c>
      <c r="D44">
        <v>1</v>
      </c>
    </row>
    <row r="45">
      <c r="C45" t="str">
        <v>프레시넷 꼬르동 네그로</v>
      </c>
      <c r="D45">
        <v>1</v>
      </c>
    </row>
    <row r="46">
      <c r="C46" t="str">
        <v>로트캡션 꾸베 브뤼</v>
      </c>
      <c r="D46">
        <v>1</v>
      </c>
    </row>
    <row r="47">
      <c r="C47" t="str">
        <v>블루넌 골드 에디션 24k</v>
      </c>
      <c r="D47">
        <v>1</v>
      </c>
    </row>
    <row r="48">
      <c r="B48" t="str">
        <v>세븐 주문</v>
      </c>
    </row>
    <row r="49">
      <c r="B49" t="str">
        <v>바코드</v>
      </c>
      <c r="C49" t="str">
        <v>품목</v>
      </c>
      <c r="D49" t="str">
        <v>수량</v>
      </c>
    </row>
    <row r="50">
      <c r="B50">
        <v>8809380368098</v>
      </c>
      <c r="C50" t="str">
        <v>텍스트북 나파 까.쇼750ml</v>
      </c>
      <c r="D50">
        <v>3</v>
      </c>
    </row>
    <row r="51">
      <c r="B51">
        <v>5000267025209</v>
      </c>
      <c r="C51" t="str">
        <v>조니워커 블랙 라벨 200ml</v>
      </c>
      <c r="D51">
        <v>3</v>
      </c>
    </row>
    <row r="52">
      <c r="B52">
        <v>5000267014401</v>
      </c>
      <c r="C52" t="str">
        <v>조니워커 레드라벨 500ml</v>
      </c>
      <c r="D52">
        <v>1</v>
      </c>
    </row>
    <row r="53">
      <c r="B53">
        <v>5000267015200</v>
      </c>
      <c r="C53" t="str">
        <v>조니워커 레드 라벨 200ml</v>
      </c>
      <c r="D53">
        <v>2</v>
      </c>
    </row>
    <row r="54">
      <c r="B54">
        <v>8802340165751</v>
      </c>
      <c r="C54" t="str">
        <v>옐로우테일 쉬라즈 187ML</v>
      </c>
      <c r="D54">
        <v>5</v>
      </c>
    </row>
    <row r="55">
      <c r="B55">
        <v>8802340245613</v>
      </c>
      <c r="C55" t="str">
        <v>옐로우테일 까소 187ML</v>
      </c>
      <c r="D55">
        <v>5</v>
      </c>
    </row>
    <row r="56">
      <c r="B56">
        <v>8801147121847</v>
      </c>
      <c r="C56" t="str">
        <v>보해복분자</v>
      </c>
      <c r="D56">
        <v>3</v>
      </c>
    </row>
    <row r="57">
      <c r="B57">
        <v>5000299628652</v>
      </c>
      <c r="C57" t="str">
        <v>발렌타인10년 200ml</v>
      </c>
      <c r="D57">
        <v>3</v>
      </c>
    </row>
    <row r="58">
      <c r="B58">
        <v>3175529650962</v>
      </c>
      <c r="C58" t="str">
        <v>로쉐마제 쌩쏘 그르나슈</v>
      </c>
      <c r="D58">
        <v>2</v>
      </c>
    </row>
    <row r="59">
      <c r="B59">
        <v>8806142702831</v>
      </c>
      <c r="C59" t="str">
        <v>디아블로 카베르네 소비뇽</v>
      </c>
      <c r="D59">
        <v>1</v>
      </c>
    </row>
    <row r="60">
      <c r="B60">
        <v>8809267520793</v>
      </c>
      <c r="C60" t="str">
        <v>G7 까베르네 소비뇽 750ml</v>
      </c>
      <c r="D60">
        <v>1</v>
      </c>
    </row>
    <row r="61">
      <c r="C61" t="str">
        <v>까르베네 소비뇽 스파클링 로제</v>
      </c>
      <c r="D61">
        <v>1</v>
      </c>
    </row>
    <row r="62">
      <c r="C62" t="str">
        <v>프레시넷 꼬르동 네그로</v>
      </c>
      <c r="D62">
        <v>1</v>
      </c>
    </row>
    <row r="63">
      <c r="C63" t="str">
        <v>로트캡션 꾸베 브뤼</v>
      </c>
      <c r="D63">
        <v>1</v>
      </c>
    </row>
    <row r="64">
      <c r="C64" t="str">
        <v>블루넌 골드 에디션 24k</v>
      </c>
      <c r="D64">
        <v>1</v>
      </c>
    </row>
    <row r="65">
      <c r="B65">
        <v>5099873060711</v>
      </c>
      <c r="C65" t="str">
        <v>잭다니엘스허니200ml</v>
      </c>
      <c r="D65">
        <v>2</v>
      </c>
    </row>
    <row r="66">
      <c r="B66">
        <v>5099873046173</v>
      </c>
      <c r="C66" t="str">
        <v>잭다니엘 블랙200ml</v>
      </c>
      <c r="D66">
        <v>3</v>
      </c>
    </row>
    <row r="67">
      <c r="C67" t="str">
        <v>잭다니엘 블랙 375</v>
      </c>
      <c r="D67">
        <v>1</v>
      </c>
    </row>
    <row r="68">
      <c r="C68" t="str">
        <v>잭다니엘 허니 375</v>
      </c>
      <c r="D68">
        <v>1</v>
      </c>
    </row>
    <row r="69">
      <c r="C69" t="str">
        <v>잭다니엘 애플 375</v>
      </c>
      <c r="D69">
        <v>1</v>
      </c>
    </row>
  </sheetData>
  <ignoredErrors>
    <ignoredError numberStoredAsText="1" sqref="B1:Q6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J38"/>
  <sheetViews>
    <sheetView workbookViewId="0"/>
  </sheetViews>
  <sheetData>
    <row r="1">
      <c r="H1" t="str">
        <v>블루</v>
      </c>
      <c r="I1" t="str">
        <v>부성</v>
      </c>
    </row>
    <row r="2">
      <c r="B2">
        <v>7790240017045</v>
      </c>
      <c r="C2" t="str">
        <v>금양] 트라피체 말벡</v>
      </c>
      <c r="D2">
        <v>-1</v>
      </c>
      <c r="H2" t="str">
        <v>O</v>
      </c>
      <c r="J2" t="str">
        <v>단종인 듯?</v>
      </c>
    </row>
    <row r="3">
      <c r="B3">
        <v>7804387000003</v>
      </c>
      <c r="C3" t="str">
        <v>레뱅드] 달라멜 소비뇽 블랑</v>
      </c>
      <c r="D3">
        <v>-1</v>
      </c>
      <c r="H3" t="str">
        <v>O</v>
      </c>
      <c r="J3" t="str">
        <v>단종인 듯?</v>
      </c>
    </row>
    <row r="4">
      <c r="B4">
        <v>8802340169384</v>
      </c>
      <c r="C4" t="str">
        <v>롯데] 옐로우 테일 핑크 모스카토</v>
      </c>
      <c r="D4">
        <v>-1</v>
      </c>
      <c r="G4" t="str">
        <v>2023.02.04</v>
      </c>
      <c r="H4" t="str">
        <v>O</v>
      </c>
      <c r="I4" t="str">
        <v>O</v>
      </c>
    </row>
    <row r="5">
      <c r="B5">
        <v>8802340216798</v>
      </c>
      <c r="C5" t="str">
        <v>롯데] 카니버 카버네 쇼비뇽</v>
      </c>
      <c r="D5">
        <v>-1</v>
      </c>
      <c r="H5" t="str">
        <v>O</v>
      </c>
      <c r="I5" t="str">
        <v>O</v>
      </c>
    </row>
    <row r="6">
      <c r="B6">
        <v>7804300010638</v>
      </c>
      <c r="C6" t="str">
        <v>금양] 가또 네그로 까베르네 소비뇽</v>
      </c>
      <c r="G6" t="str">
        <v>2023.02.04</v>
      </c>
      <c r="H6" t="str">
        <v>O</v>
      </c>
    </row>
    <row r="7">
      <c r="B7">
        <v>8410036806934</v>
      </c>
      <c r="C7" t="str">
        <v>금양] 프레시넷 로제 스파클링</v>
      </c>
      <c r="G7" t="str">
        <v>2023.02.04</v>
      </c>
      <c r="H7" t="str">
        <v>O</v>
      </c>
    </row>
    <row r="8">
      <c r="B8">
        <v>3175520018716</v>
      </c>
      <c r="C8" t="str">
        <v>레뱅드] 로쉐마제 까베르네 소비뇽</v>
      </c>
      <c r="G8" t="str">
        <v>2023.02.04</v>
      </c>
      <c r="H8" t="str">
        <v>O</v>
      </c>
    </row>
    <row r="9">
      <c r="B9">
        <v>8802340146583</v>
      </c>
      <c r="C9" t="str">
        <v>롯데] 라 마리나 카버네 쇼비뇽</v>
      </c>
      <c r="G9" t="str">
        <v>2023.02.04</v>
      </c>
      <c r="H9" t="str">
        <v>O</v>
      </c>
    </row>
    <row r="10">
      <c r="B10">
        <v>8802340216668</v>
      </c>
      <c r="C10" t="str">
        <v>롯데] 베어풋 스위트레드</v>
      </c>
      <c r="G10" t="str">
        <v>2023.02.04</v>
      </c>
      <c r="H10" t="str">
        <v>O</v>
      </c>
    </row>
    <row r="11">
      <c r="B11">
        <v>8802340216651</v>
      </c>
      <c r="C11" t="str">
        <v>롯데] 베어풋 피노누아</v>
      </c>
      <c r="G11" t="str">
        <v>2023.02.04</v>
      </c>
      <c r="H11" t="str">
        <v>O</v>
      </c>
    </row>
    <row r="12">
      <c r="B12">
        <v>8802340111659</v>
      </c>
      <c r="C12" t="str">
        <v>롯데] 비냐 란자 블랑코 화이트</v>
      </c>
      <c r="G12" t="str">
        <v>2023.02.04</v>
      </c>
      <c r="H12" t="str">
        <v>O</v>
      </c>
      <c r="I12" t="str">
        <v>O</v>
      </c>
    </row>
    <row r="13">
      <c r="B13">
        <v>8802340103241</v>
      </c>
      <c r="C13" t="str">
        <v>롯데] 산타 리타 120 리제르바 이스페셜 샤</v>
      </c>
      <c r="G13" t="str">
        <v>2023.02.04</v>
      </c>
      <c r="H13" t="str">
        <v>O</v>
      </c>
    </row>
    <row r="14">
      <c r="B14">
        <v>8802340265260</v>
      </c>
      <c r="C14" t="str">
        <v>롯데] 옐로우 테일 빅 볼드 레드</v>
      </c>
      <c r="G14" t="str">
        <v>2023.02.04</v>
      </c>
      <c r="H14" t="str">
        <v>O</v>
      </c>
    </row>
    <row r="15">
      <c r="B15">
        <v>8802340166963</v>
      </c>
      <c r="C15" t="str">
        <v>롯데] 옐로우 테일 샤도네</v>
      </c>
      <c r="G15" t="str">
        <v>2023.02.04</v>
      </c>
      <c r="H15" t="str">
        <v>O</v>
      </c>
    </row>
    <row r="16">
      <c r="B16">
        <v>8802340166970</v>
      </c>
      <c r="C16" t="str">
        <v>롯데] 옐로우 테일 쉬라즈</v>
      </c>
      <c r="G16" t="str">
        <v>2023.02.04</v>
      </c>
      <c r="H16" t="str">
        <v>O</v>
      </c>
      <c r="I16" t="str">
        <v>O</v>
      </c>
    </row>
    <row r="17">
      <c r="B17">
        <v>8802340093030</v>
      </c>
      <c r="C17" t="str">
        <v>롯데] 조닌 끼안티</v>
      </c>
      <c r="G17" t="str">
        <v>2023.02.04</v>
      </c>
      <c r="H17" t="str">
        <v>O</v>
      </c>
      <c r="I17" t="str">
        <v>O</v>
      </c>
    </row>
    <row r="18">
      <c r="B18">
        <v>8802340259658</v>
      </c>
      <c r="C18" t="str">
        <v>롯데] 칼로로시 아이스 피치</v>
      </c>
      <c r="G18" t="str">
        <v>2023.02.04</v>
      </c>
      <c r="H18" t="str">
        <v>O</v>
      </c>
    </row>
    <row r="19">
      <c r="B19">
        <v>89744765482</v>
      </c>
      <c r="C19" t="str">
        <v>마뱅] 리유니트 람브루스코</v>
      </c>
      <c r="G19" t="str">
        <v>2023.02.04</v>
      </c>
      <c r="H19" t="str">
        <v>O</v>
      </c>
    </row>
    <row r="20">
      <c r="B20">
        <v>89744765659</v>
      </c>
      <c r="C20" t="str">
        <v>마뱅] 리유니트 모스카토</v>
      </c>
      <c r="G20" t="str">
        <v>2023.02.04</v>
      </c>
      <c r="H20" t="str">
        <v>O</v>
      </c>
      <c r="I20" t="str">
        <v>O</v>
      </c>
    </row>
    <row r="21">
      <c r="B21">
        <v>89744765857</v>
      </c>
      <c r="C21" t="str">
        <v>마뱅] 리유니트 피치 모스카토</v>
      </c>
      <c r="G21" t="str">
        <v>2023.02.04</v>
      </c>
      <c r="H21" t="str">
        <v>O</v>
      </c>
    </row>
    <row r="22">
      <c r="B22">
        <v>8806142702831</v>
      </c>
      <c r="C22" t="str">
        <v>아영] 디아블로 카베르네 소비뇽</v>
      </c>
      <c r="G22" t="str">
        <v>2023.02.04</v>
      </c>
      <c r="H22" t="str">
        <v>O</v>
      </c>
      <c r="I22" t="str">
        <v>O</v>
      </c>
    </row>
    <row r="23">
      <c r="B23">
        <v>7804436720920</v>
      </c>
      <c r="C23" t="str">
        <v>아영] 알파카 카베르네 메를로</v>
      </c>
      <c r="G23" t="str">
        <v>2023.02.04</v>
      </c>
      <c r="H23" t="str">
        <v>O</v>
      </c>
    </row>
    <row r="24">
      <c r="C24" t="str">
        <v>일단 팔림</v>
      </c>
    </row>
    <row r="25">
      <c r="C25" t="str">
        <v>잘 안 팔림</v>
      </c>
    </row>
    <row r="27">
      <c r="B27">
        <v>7804387001864</v>
      </c>
      <c r="C27" t="str">
        <v>레뱅드] 달라멜 레세르바 까베르네 소비뇽</v>
      </c>
      <c r="D27">
        <v>1</v>
      </c>
      <c r="G27" t="str">
        <v>2023.02.04</v>
      </c>
    </row>
    <row r="28">
      <c r="B28">
        <v>8802340101735</v>
      </c>
      <c r="C28" t="str">
        <v>롯데] 반피 콜디 사쏘</v>
      </c>
      <c r="D28">
        <v>1</v>
      </c>
      <c r="G28" t="str">
        <v>2023.02.04</v>
      </c>
    </row>
    <row r="29">
      <c r="B29">
        <v>8802340216637</v>
      </c>
      <c r="C29" t="str">
        <v>롯데] 베어풋 카버네 쇼비뇽</v>
      </c>
      <c r="D29">
        <v>1</v>
      </c>
      <c r="G29" t="str">
        <v>2023.02.04</v>
      </c>
    </row>
    <row r="30">
      <c r="B30">
        <v>8802340111611</v>
      </c>
      <c r="C30" t="str">
        <v>롯데] 비바 에스파냐 레드</v>
      </c>
      <c r="D30">
        <v>1</v>
      </c>
      <c r="G30" t="str">
        <v>2023.02.04</v>
      </c>
    </row>
    <row r="31">
      <c r="B31">
        <v>8802340103227</v>
      </c>
      <c r="C31" t="str">
        <v>롯데] 산타 리타 120 리저브 이스페셜 카버</v>
      </c>
      <c r="D31">
        <v>1</v>
      </c>
      <c r="G31" t="str">
        <v>2023.02.04</v>
      </c>
    </row>
    <row r="32">
      <c r="B32">
        <v>8802340166697</v>
      </c>
      <c r="C32" t="str">
        <v>롯데] 산타 캐롤리나 리제르바 메를로</v>
      </c>
      <c r="D32">
        <v>1</v>
      </c>
      <c r="G32" t="str">
        <v>2023.02.04</v>
      </c>
    </row>
    <row r="33">
      <c r="B33">
        <v>8802340105030</v>
      </c>
      <c r="C33" t="str">
        <v>롯데] 올리 베라스</v>
      </c>
      <c r="D33">
        <v>1</v>
      </c>
      <c r="G33" t="str">
        <v>2023.02.04</v>
      </c>
    </row>
    <row r="34">
      <c r="B34">
        <v>8802340216552</v>
      </c>
      <c r="C34" t="str">
        <v>롯데] 칼로로시 스위트 레드</v>
      </c>
      <c r="D34">
        <v>1</v>
      </c>
      <c r="G34" t="str">
        <v>2023.02.04</v>
      </c>
    </row>
    <row r="35">
      <c r="B35">
        <v>4058222100400</v>
      </c>
      <c r="C35" t="str">
        <v>인디] 로트 캡션 로제 샴페인</v>
      </c>
      <c r="D35">
        <v>1</v>
      </c>
      <c r="G35" t="str">
        <v>2023.02.04</v>
      </c>
    </row>
    <row r="36">
      <c r="B36">
        <v>8801048225002</v>
      </c>
      <c r="C36" t="str">
        <v>하이트진로] 진로 하우스 와인</v>
      </c>
      <c r="D36">
        <v>2</v>
      </c>
      <c r="G36" t="str">
        <v>2023.02.04</v>
      </c>
    </row>
    <row r="37">
      <c r="C37" t="str">
        <v>잘 팔림</v>
      </c>
    </row>
    <row r="38">
      <c r="C38" t="str">
        <v>안 팔림</v>
      </c>
    </row>
  </sheetData>
  <ignoredErrors>
    <ignoredError numberStoredAsText="1" sqref="B1:J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2:J22"/>
  <sheetViews>
    <sheetView workbookViewId="0"/>
  </sheetViews>
  <sheetData>
    <row r="2">
      <c r="C2" t="str">
        <v>합계</v>
      </c>
      <c r="D2">
        <f>SUM(D3:D21)</f>
        <v>20</v>
      </c>
    </row>
    <row r="3">
      <c r="B3">
        <v>7790240017045</v>
      </c>
      <c r="C3" t="str">
        <v>금양] 트라피체 말벡</v>
      </c>
      <c r="D3">
        <v>1</v>
      </c>
      <c r="H3" t="str">
        <v>O</v>
      </c>
      <c r="J3" t="str">
        <v>단종인 듯?</v>
      </c>
    </row>
    <row r="4">
      <c r="B4">
        <v>7804387000003</v>
      </c>
      <c r="C4" t="str">
        <v>레뱅드] 달라멜 소비뇽 블랑</v>
      </c>
      <c r="D4">
        <v>1</v>
      </c>
      <c r="H4" t="str">
        <v>O</v>
      </c>
      <c r="J4" t="str">
        <v>단종인 듯?</v>
      </c>
    </row>
    <row r="5">
      <c r="B5">
        <v>8802340169384</v>
      </c>
      <c r="C5" t="str">
        <v>롯데] 옐로우 테일 핑크 모스카토</v>
      </c>
      <c r="D5">
        <v>1</v>
      </c>
      <c r="G5" t="str">
        <v>2023.02.04</v>
      </c>
      <c r="H5" t="str">
        <v>O</v>
      </c>
      <c r="I5" t="str">
        <v>O</v>
      </c>
    </row>
    <row r="6">
      <c r="B6">
        <v>7804300010638</v>
      </c>
      <c r="C6" t="str">
        <v>금양] 가또 네그로 까베르네 소비뇽</v>
      </c>
      <c r="D6">
        <v>1</v>
      </c>
      <c r="G6" t="str">
        <v>2023.02.04</v>
      </c>
      <c r="H6" t="str">
        <v>O</v>
      </c>
    </row>
    <row r="7">
      <c r="B7">
        <v>8410036806934</v>
      </c>
      <c r="C7" t="str">
        <v>금양] 프레시넷 로제 스파클링</v>
      </c>
      <c r="D7">
        <v>2</v>
      </c>
      <c r="G7" t="str">
        <v>2023.02.04</v>
      </c>
      <c r="H7" t="str">
        <v>O</v>
      </c>
    </row>
    <row r="8">
      <c r="B8">
        <v>3175520018716</v>
      </c>
      <c r="C8" t="str">
        <v>레뱅드] 로쉐마제 까베르네 소비뇽</v>
      </c>
      <c r="D8">
        <v>1</v>
      </c>
      <c r="G8" t="str">
        <v>2023.02.04</v>
      </c>
      <c r="H8" t="str">
        <v>O</v>
      </c>
    </row>
    <row r="9">
      <c r="B9">
        <v>8802340146583</v>
      </c>
      <c r="C9" t="str">
        <v>롯데] 라 마리나 카버네 쇼비뇽</v>
      </c>
      <c r="D9">
        <v>1</v>
      </c>
      <c r="G9" t="str">
        <v>2023.02.04</v>
      </c>
      <c r="H9" t="str">
        <v>O</v>
      </c>
    </row>
    <row r="10">
      <c r="B10">
        <v>8802340216668</v>
      </c>
      <c r="C10" t="str">
        <v>롯데] 베어풋 스위트레드</v>
      </c>
      <c r="D10">
        <v>1</v>
      </c>
      <c r="G10" t="str">
        <v>2023.02.04</v>
      </c>
      <c r="H10" t="str">
        <v>O</v>
      </c>
    </row>
    <row r="11">
      <c r="B11">
        <v>8802340216651</v>
      </c>
      <c r="C11" t="str">
        <v>롯데] 베어풋 피노누아</v>
      </c>
      <c r="D11">
        <v>1</v>
      </c>
      <c r="G11" t="str">
        <v>2023.02.04</v>
      </c>
      <c r="H11" t="str">
        <v>O</v>
      </c>
    </row>
    <row r="12">
      <c r="B12">
        <v>8802340265260</v>
      </c>
      <c r="C12" t="str">
        <v>롯데] 옐로우 테일 빅 볼드 레드</v>
      </c>
      <c r="D12">
        <v>1</v>
      </c>
      <c r="G12" t="str">
        <v>2023.02.04</v>
      </c>
      <c r="H12" t="str">
        <v>O</v>
      </c>
    </row>
    <row r="13">
      <c r="B13">
        <v>8802340166963</v>
      </c>
      <c r="C13" t="str">
        <v>롯데] 옐로우 테일 샤도네</v>
      </c>
      <c r="D13">
        <v>1</v>
      </c>
      <c r="G13" t="str">
        <v>2023.02.04</v>
      </c>
      <c r="H13" t="str">
        <v>O</v>
      </c>
    </row>
    <row r="14">
      <c r="B14">
        <v>8802340166970</v>
      </c>
      <c r="C14" t="str">
        <v>롯데] 옐로우 테일 쉬라즈</v>
      </c>
      <c r="D14">
        <v>1</v>
      </c>
      <c r="G14" t="str">
        <v>2023.02.04</v>
      </c>
      <c r="H14" t="str">
        <v>O</v>
      </c>
      <c r="I14" t="str">
        <v>O</v>
      </c>
    </row>
    <row r="15">
      <c r="B15">
        <v>8802340093030</v>
      </c>
      <c r="C15" t="str">
        <v>롯데] 조닌 끼안티</v>
      </c>
      <c r="D15">
        <v>1</v>
      </c>
      <c r="G15" t="str">
        <v>2023.02.04</v>
      </c>
      <c r="H15" t="str">
        <v>O</v>
      </c>
      <c r="I15" t="str">
        <v>O</v>
      </c>
    </row>
    <row r="16">
      <c r="B16">
        <v>8802340259658</v>
      </c>
      <c r="C16" t="str">
        <v>롯데] 칼로로시 아이스 피치</v>
      </c>
      <c r="D16">
        <v>1</v>
      </c>
      <c r="G16" t="str">
        <v>2023.02.04</v>
      </c>
      <c r="H16" t="str">
        <v>O</v>
      </c>
    </row>
    <row r="17">
      <c r="B17">
        <v>89744765482</v>
      </c>
      <c r="C17" t="str">
        <v>마뱅] 리유니트 람브루스코</v>
      </c>
      <c r="D17">
        <v>1</v>
      </c>
      <c r="G17" t="str">
        <v>2023.02.04</v>
      </c>
      <c r="H17" t="str">
        <v>O</v>
      </c>
    </row>
    <row r="18">
      <c r="B18">
        <v>89744765659</v>
      </c>
      <c r="C18" t="str">
        <v>마뱅] 리유니트 모스카토</v>
      </c>
      <c r="D18">
        <v>1</v>
      </c>
      <c r="G18" t="str">
        <v>2023.02.04</v>
      </c>
      <c r="H18" t="str">
        <v>O</v>
      </c>
      <c r="I18" t="str">
        <v>O</v>
      </c>
    </row>
    <row r="19">
      <c r="B19">
        <v>89744765857</v>
      </c>
      <c r="C19" t="str">
        <v>마뱅] 리유니트 피치 모스카토</v>
      </c>
      <c r="D19">
        <v>1</v>
      </c>
      <c r="G19" t="str">
        <v>2023.02.04</v>
      </c>
      <c r="H19" t="str">
        <v>O</v>
      </c>
    </row>
    <row r="20">
      <c r="B20">
        <v>8806142702831</v>
      </c>
      <c r="C20" t="str">
        <v>아영] 디아블로 카베르네 소비뇽</v>
      </c>
      <c r="D20">
        <v>1</v>
      </c>
      <c r="G20" t="str">
        <v>2023.02.04</v>
      </c>
      <c r="H20" t="str">
        <v>O</v>
      </c>
      <c r="I20" t="str">
        <v>O</v>
      </c>
    </row>
    <row r="21">
      <c r="B21">
        <v>7804436720920</v>
      </c>
      <c r="C21" t="str">
        <v>아영] 알파카 카베르네 메를로</v>
      </c>
      <c r="D21">
        <v>1</v>
      </c>
      <c r="G21" t="str">
        <v>2023.02.04</v>
      </c>
      <c r="H21" t="str">
        <v>O</v>
      </c>
    </row>
    <row r="22">
      <c r="C22" t="str">
        <v>시바스리갈</v>
      </c>
      <c r="D22">
        <v>2</v>
      </c>
    </row>
  </sheetData>
  <ignoredErrors>
    <ignoredError numberStoredAsText="1" sqref="B2:J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Data>
    <row r="1">
      <c r="C1" t="str">
        <v>합계</v>
      </c>
      <c r="D1">
        <f>SUM(D4:D21)</f>
        <v>13</v>
      </c>
    </row>
    <row r="2">
      <c r="A2" t="str">
        <v>상품</v>
      </c>
      <c r="F2" t="str">
        <v>(부가세별도)</v>
      </c>
    </row>
    <row r="3">
      <c r="A3" t="str">
        <v>코드</v>
      </c>
      <c r="B3" t="str">
        <v>이름</v>
      </c>
      <c r="C3" t="str">
        <v>용량</v>
      </c>
      <c r="D3" t="str">
        <v>수량</v>
      </c>
      <c r="E3" t="str">
        <v>이름</v>
      </c>
      <c r="F3" t="str">
        <v>공급가</v>
      </c>
      <c r="H3">
        <v>1</v>
      </c>
      <c r="I3" t="str">
        <v>[RF][가]라벨5블랜디드 스카치위스키</v>
      </c>
      <c r="J3">
        <v>700</v>
      </c>
      <c r="K3">
        <v>6</v>
      </c>
      <c r="L3" t="str">
        <v>수입위스키</v>
      </c>
      <c r="M3">
        <v>18150</v>
      </c>
    </row>
    <row r="4">
      <c r="A4">
        <v>4</v>
      </c>
      <c r="B4" t="str">
        <v>[RF][가]패스포트 스카치 (200ml)</v>
      </c>
      <c r="C4">
        <v>200</v>
      </c>
      <c r="D4">
        <v>1</v>
      </c>
      <c r="E4" t="str">
        <v>수입위스키</v>
      </c>
      <c r="F4">
        <v>5500</v>
      </c>
      <c r="H4">
        <v>2</v>
      </c>
      <c r="I4" t="str">
        <v>[RF][가]옐로우로즈 해리스 카운티</v>
      </c>
      <c r="J4">
        <v>750</v>
      </c>
      <c r="K4">
        <v>6</v>
      </c>
      <c r="L4" t="str">
        <v>수입위스키</v>
      </c>
      <c r="M4">
        <v>58300</v>
      </c>
    </row>
    <row r="5">
      <c r="A5">
        <v>54</v>
      </c>
      <c r="B5" t="str">
        <v>[RF][가정]스카치블루 12Y(350ml)</v>
      </c>
      <c r="C5">
        <v>350</v>
      </c>
      <c r="D5">
        <v>1</v>
      </c>
      <c r="E5" t="str">
        <v>위스키</v>
      </c>
      <c r="F5">
        <v>18480</v>
      </c>
      <c r="H5">
        <v>3</v>
      </c>
      <c r="I5" t="str">
        <v>[RF][가]제임슨 블랙배럴</v>
      </c>
      <c r="J5">
        <v>700</v>
      </c>
      <c r="K5">
        <v>6</v>
      </c>
      <c r="L5" t="str">
        <v>수입위스키</v>
      </c>
      <c r="M5">
        <v>50391</v>
      </c>
    </row>
    <row r="6">
      <c r="A6">
        <v>36</v>
      </c>
      <c r="B6" t="str">
        <v>[RF][가정]잭다니엘 (375ml)</v>
      </c>
      <c r="C6">
        <v>375</v>
      </c>
      <c r="D6">
        <v>1</v>
      </c>
      <c r="E6" t="str">
        <v>수입위스키</v>
      </c>
      <c r="F6">
        <v>23210</v>
      </c>
      <c r="H6">
        <v>4</v>
      </c>
      <c r="I6" t="str">
        <v>[RF][가]패스포트 스카치 (200ml)</v>
      </c>
      <c r="J6">
        <v>200</v>
      </c>
      <c r="K6">
        <v>24</v>
      </c>
      <c r="L6" t="str">
        <v>수입위스키</v>
      </c>
      <c r="M6">
        <v>5500</v>
      </c>
    </row>
    <row r="7">
      <c r="A7">
        <v>58</v>
      </c>
      <c r="B7" t="str">
        <v>[RF][가정]잭다니엘허니 (375ml)</v>
      </c>
      <c r="C7">
        <v>375</v>
      </c>
      <c r="D7">
        <v>1</v>
      </c>
      <c r="E7" t="str">
        <v>위스키(기타주류)</v>
      </c>
      <c r="F7">
        <v>23210</v>
      </c>
      <c r="H7">
        <v>5</v>
      </c>
      <c r="I7" t="str">
        <v>[RF][가정]글렌고인 12Y</v>
      </c>
      <c r="J7">
        <v>700</v>
      </c>
      <c r="K7">
        <v>6</v>
      </c>
      <c r="L7" t="str">
        <v>수입위스키</v>
      </c>
      <c r="M7">
        <v>82500</v>
      </c>
    </row>
    <row r="8">
      <c r="A8">
        <v>57</v>
      </c>
      <c r="B8" t="str">
        <v>[RF][가정]팬텀디오리지널 리저브</v>
      </c>
      <c r="C8">
        <v>450</v>
      </c>
      <c r="D8">
        <v>1</v>
      </c>
      <c r="E8" t="str">
        <v>위스키</v>
      </c>
      <c r="F8">
        <v>18920</v>
      </c>
      <c r="H8">
        <v>6</v>
      </c>
      <c r="I8" t="str">
        <v>[RF][가정]글렌고인 18Y</v>
      </c>
      <c r="J8">
        <v>700</v>
      </c>
      <c r="K8">
        <v>6</v>
      </c>
      <c r="L8" t="str">
        <v>수입위스키</v>
      </c>
      <c r="M8">
        <v>282700</v>
      </c>
    </row>
    <row r="9">
      <c r="A9">
        <v>55</v>
      </c>
      <c r="B9" t="str">
        <v>[RF][가정]윈저 12Y</v>
      </c>
      <c r="C9">
        <v>500</v>
      </c>
      <c r="D9">
        <v>1</v>
      </c>
      <c r="E9" t="str">
        <v>위스키</v>
      </c>
      <c r="F9">
        <v>26620</v>
      </c>
      <c r="H9">
        <v>6</v>
      </c>
      <c r="I9" t="str">
        <v>[RF][가정]글렌고인 18Y</v>
      </c>
      <c r="J9">
        <v>700</v>
      </c>
      <c r="K9">
        <v>6</v>
      </c>
      <c r="L9" t="str">
        <v>수입위스키</v>
      </c>
      <c r="M9">
        <v>282700</v>
      </c>
    </row>
    <row r="10">
      <c r="A10">
        <v>60</v>
      </c>
      <c r="B10" t="str">
        <v>미다이 위스키 (재패니즈)</v>
      </c>
      <c r="C10">
        <v>700</v>
      </c>
      <c r="D10">
        <v>1</v>
      </c>
      <c r="E10" t="str">
        <v>위스키(일반증류주)</v>
      </c>
      <c r="F10">
        <v>25740</v>
      </c>
      <c r="H10">
        <v>8</v>
      </c>
      <c r="I10" t="str">
        <v>[RF][가정]글렌로티스 WMC</v>
      </c>
      <c r="J10">
        <v>700</v>
      </c>
      <c r="K10">
        <v>6</v>
      </c>
      <c r="L10" t="str">
        <v>수입위스키</v>
      </c>
      <c r="M10">
        <v>141680</v>
      </c>
    </row>
    <row r="11">
      <c r="A11">
        <v>47</v>
      </c>
      <c r="B11" t="str">
        <v>[RF][가정]코쿤위스키</v>
      </c>
      <c r="C11">
        <v>600</v>
      </c>
      <c r="D11">
        <v>1</v>
      </c>
      <c r="E11" t="str">
        <v>수입위스키</v>
      </c>
      <c r="F11">
        <v>13750</v>
      </c>
      <c r="H11">
        <v>9</v>
      </c>
      <c r="I11" t="str">
        <v>[RF][가정]글렌알라키 10Y 친커핀버진오크</v>
      </c>
      <c r="J11">
        <v>700</v>
      </c>
      <c r="K11">
        <v>6</v>
      </c>
      <c r="L11" t="str">
        <v>수입위스키</v>
      </c>
      <c r="M11">
        <v>145420</v>
      </c>
    </row>
    <row r="12">
      <c r="B12" t="str">
        <v>로트 캡션 로제 샴페인</v>
      </c>
      <c r="D12">
        <v>2</v>
      </c>
      <c r="H12">
        <v>10</v>
      </c>
      <c r="I12" t="str">
        <v>[RF][가정]글렌알라키 10Y 프렌치버진오크</v>
      </c>
      <c r="J12">
        <v>700</v>
      </c>
      <c r="K12">
        <v>6</v>
      </c>
      <c r="L12" t="str">
        <v>수입위스키</v>
      </c>
      <c r="M12">
        <v>145420</v>
      </c>
    </row>
    <row r="13">
      <c r="A13">
        <v>12693</v>
      </c>
      <c r="B13" t="str">
        <v>로트캡션 석류(200ml)</v>
      </c>
      <c r="C13">
        <v>4058222100523</v>
      </c>
      <c r="D13">
        <v>2</v>
      </c>
      <c r="E13" t="str">
        <v>스파클링와인</v>
      </c>
      <c r="F13">
        <v>1815</v>
      </c>
      <c r="H13">
        <v>11</v>
      </c>
      <c r="I13" t="str">
        <v>[RF][가정]글렌터너 12Y</v>
      </c>
      <c r="J13">
        <v>700</v>
      </c>
      <c r="K13">
        <v>6</v>
      </c>
      <c r="L13" t="str">
        <v>수입위스키</v>
      </c>
      <c r="M13">
        <v>77000</v>
      </c>
    </row>
    <row r="14">
      <c r="A14">
        <v>53</v>
      </c>
      <c r="B14" t="str">
        <v>[RF][가정]골든블루 사피루스(12Y)</v>
      </c>
      <c r="C14">
        <v>450</v>
      </c>
      <c r="D14">
        <v>1</v>
      </c>
      <c r="E14" t="str">
        <v>위스키</v>
      </c>
      <c r="F14">
        <v>24255</v>
      </c>
      <c r="H14">
        <v>12</v>
      </c>
      <c r="I14" t="str">
        <v>[RF][가정]더글렌리벳 12Y</v>
      </c>
      <c r="J14">
        <v>700</v>
      </c>
      <c r="K14">
        <v>12</v>
      </c>
      <c r="L14" t="str">
        <v>수입위스키</v>
      </c>
      <c r="M14">
        <v>87758</v>
      </c>
    </row>
    <row r="15">
      <c r="A15">
        <v>4154</v>
      </c>
      <c r="B15" t="str">
        <v>[RF]조니워커레드 (200ml)</v>
      </c>
      <c r="C15">
        <v>200</v>
      </c>
      <c r="D15" t="str">
        <v>가정</v>
      </c>
      <c r="E15" t="str">
        <v>수입위스키</v>
      </c>
      <c r="F15">
        <v>8514</v>
      </c>
      <c r="H15">
        <v>13</v>
      </c>
      <c r="I15" t="str">
        <v>[RF][가정]더글렌리벳 15Y</v>
      </c>
      <c r="J15">
        <v>700</v>
      </c>
      <c r="K15">
        <v>6</v>
      </c>
      <c r="L15" t="str">
        <v>수입위스키</v>
      </c>
      <c r="M15">
        <v>119471</v>
      </c>
    </row>
    <row r="16">
      <c r="A16">
        <v>4170</v>
      </c>
      <c r="B16" t="str">
        <v>[RF]조니워커블랙 (200ml)</v>
      </c>
      <c r="C16">
        <v>200</v>
      </c>
      <c r="D16" t="str">
        <v>가정</v>
      </c>
      <c r="E16" t="str">
        <v>수입위스키</v>
      </c>
      <c r="F16">
        <v>13662</v>
      </c>
      <c r="H16">
        <v>14</v>
      </c>
      <c r="I16" t="str">
        <v>[RF][가정]맥캘란 12Y 더블캐스크</v>
      </c>
      <c r="J16">
        <v>700</v>
      </c>
      <c r="K16">
        <v>12</v>
      </c>
      <c r="L16" t="str">
        <v>수입위스키</v>
      </c>
      <c r="M16">
        <v>89100</v>
      </c>
    </row>
    <row r="17">
      <c r="B17" t="str">
        <v>버드와이저(473ml)</v>
      </c>
      <c r="C17">
        <v>473</v>
      </c>
      <c r="E17" t="str">
        <v>알루미늄 vs 캔 차이??</v>
      </c>
      <c r="H17">
        <v>15</v>
      </c>
      <c r="I17" t="str">
        <v>[RF][가정]발렌타인 17Y(700ml)</v>
      </c>
      <c r="J17">
        <v>700</v>
      </c>
      <c r="K17">
        <v>6</v>
      </c>
      <c r="L17" t="str">
        <v>수입위스키</v>
      </c>
      <c r="M17">
        <v>144584</v>
      </c>
    </row>
    <row r="18">
      <c r="H18">
        <v>16</v>
      </c>
      <c r="I18" t="str">
        <v>[RF][가정]발렌타인 21Y(500ml)</v>
      </c>
      <c r="J18">
        <v>500</v>
      </c>
      <c r="K18">
        <v>6</v>
      </c>
      <c r="L18" t="str">
        <v>수입위스키</v>
      </c>
      <c r="M18">
        <v>154077</v>
      </c>
    </row>
    <row r="19">
      <c r="H19">
        <v>17</v>
      </c>
      <c r="I19" t="str">
        <v>[RF][가정]발렌타인 마스터스(500ml)</v>
      </c>
      <c r="J19">
        <v>500</v>
      </c>
      <c r="K19">
        <v>6</v>
      </c>
      <c r="L19" t="str">
        <v>수입위스키</v>
      </c>
      <c r="M19">
        <v>41426</v>
      </c>
    </row>
    <row r="20">
      <c r="H20">
        <v>18</v>
      </c>
      <c r="I20" t="str">
        <v>[RF][가정]발렌타인12Y (500ml)</v>
      </c>
      <c r="J20">
        <v>500</v>
      </c>
      <c r="K20">
        <v>6</v>
      </c>
      <c r="L20" t="str">
        <v>수입위스키</v>
      </c>
      <c r="M20">
        <v>33605</v>
      </c>
    </row>
    <row r="21">
      <c r="H21">
        <v>19</v>
      </c>
      <c r="I21" t="str">
        <v>[RF][가정]발베니12Y 아메리칸오크*</v>
      </c>
      <c r="J21">
        <v>700</v>
      </c>
      <c r="K21">
        <v>6</v>
      </c>
      <c r="L21" t="str">
        <v>수입위스키</v>
      </c>
      <c r="M21">
        <v>160000</v>
      </c>
    </row>
    <row r="22">
      <c r="H22">
        <v>20</v>
      </c>
      <c r="I22" t="str">
        <v>[RF][가정]벤로막 10Y</v>
      </c>
      <c r="J22">
        <v>700</v>
      </c>
      <c r="K22">
        <v>6</v>
      </c>
      <c r="L22" t="str">
        <v>수입위스키</v>
      </c>
      <c r="M22">
        <v>74800</v>
      </c>
    </row>
    <row r="23">
      <c r="H23">
        <v>21</v>
      </c>
      <c r="I23" t="str">
        <v>[RF][가정]벤로막 15Y</v>
      </c>
      <c r="J23">
        <v>700</v>
      </c>
      <c r="K23">
        <v>6</v>
      </c>
      <c r="L23" t="str">
        <v>수입위스키</v>
      </c>
      <c r="M23">
        <v>161700</v>
      </c>
    </row>
    <row r="24">
      <c r="H24">
        <v>22</v>
      </c>
      <c r="I24" t="str">
        <v>[RF][가정]벤로막 21Y</v>
      </c>
      <c r="J24">
        <v>700</v>
      </c>
      <c r="K24">
        <v>3</v>
      </c>
      <c r="L24" t="str">
        <v>수입위스키</v>
      </c>
      <c r="M24">
        <v>330000</v>
      </c>
    </row>
    <row r="25">
      <c r="H25">
        <v>23</v>
      </c>
      <c r="I25" t="str">
        <v>[RF][가정]벨즈(700ml)</v>
      </c>
      <c r="J25">
        <v>700</v>
      </c>
      <c r="K25">
        <v>6</v>
      </c>
      <c r="L25" t="str">
        <v>수입위스키</v>
      </c>
      <c r="M25">
        <v>15345</v>
      </c>
    </row>
    <row r="26">
      <c r="H26">
        <v>24</v>
      </c>
      <c r="I26" t="str">
        <v>[RF][가정]불렛 버번</v>
      </c>
      <c r="J26">
        <v>700</v>
      </c>
      <c r="K26">
        <v>6</v>
      </c>
      <c r="L26" t="str">
        <v>수입위스키</v>
      </c>
      <c r="M26">
        <v>57629</v>
      </c>
    </row>
    <row r="27">
      <c r="H27">
        <v>25</v>
      </c>
      <c r="I27" t="str">
        <v>[RF][가정]시바스리갈 18Y(700ml)</v>
      </c>
      <c r="J27">
        <v>700</v>
      </c>
      <c r="K27">
        <v>6</v>
      </c>
      <c r="L27" t="str">
        <v>수입위스키</v>
      </c>
      <c r="M27">
        <v>136213</v>
      </c>
    </row>
    <row r="28">
      <c r="H28">
        <v>26</v>
      </c>
      <c r="I28" t="str">
        <v>[RF][가정]아란 배럴 리저브 몰트</v>
      </c>
      <c r="J28">
        <v>700</v>
      </c>
      <c r="K28">
        <v>6</v>
      </c>
      <c r="L28" t="str">
        <v>수입위스키</v>
      </c>
      <c r="M28">
        <v>61600</v>
      </c>
    </row>
    <row r="29">
      <c r="H29">
        <v>27</v>
      </c>
      <c r="I29" t="str">
        <v>[RF][가정]암룻인디안 캐스크 스트랭스</v>
      </c>
      <c r="J29">
        <v>700</v>
      </c>
      <c r="K29">
        <v>6</v>
      </c>
      <c r="L29" t="str">
        <v>수입위스키</v>
      </c>
      <c r="M29">
        <v>132000</v>
      </c>
    </row>
    <row r="30">
      <c r="H30">
        <v>28</v>
      </c>
      <c r="I30" t="str">
        <v>[RF][가정]에반 윌리엄스 싱글배럴</v>
      </c>
      <c r="J30">
        <v>750</v>
      </c>
      <c r="K30">
        <v>6</v>
      </c>
      <c r="L30" t="str">
        <v>수입위스키</v>
      </c>
      <c r="M30">
        <v>65340</v>
      </c>
    </row>
    <row r="31">
      <c r="H31">
        <v>29</v>
      </c>
      <c r="I31" t="str">
        <v>[RF][가정]와일드터키 레어브리드</v>
      </c>
      <c r="J31">
        <v>750</v>
      </c>
      <c r="K31">
        <v>6</v>
      </c>
      <c r="L31" t="str">
        <v>수입위스키</v>
      </c>
      <c r="M31">
        <v>86900</v>
      </c>
    </row>
    <row r="32">
      <c r="H32">
        <v>30</v>
      </c>
      <c r="I32" t="str">
        <v>[RF][가정]와일드터키 켄터키 스피릿</v>
      </c>
      <c r="J32">
        <v>750</v>
      </c>
      <c r="K32">
        <v>6</v>
      </c>
      <c r="L32" t="str">
        <v>수입위스키</v>
      </c>
      <c r="M32">
        <v>93500</v>
      </c>
    </row>
    <row r="33">
      <c r="H33">
        <v>31</v>
      </c>
      <c r="I33" t="str">
        <v>[RF][가정]와일드터키101 8Y</v>
      </c>
      <c r="J33">
        <v>700</v>
      </c>
      <c r="K33">
        <v>12</v>
      </c>
      <c r="L33" t="str">
        <v>수입위스키</v>
      </c>
      <c r="M33">
        <v>52800</v>
      </c>
    </row>
    <row r="34">
      <c r="H34">
        <v>32</v>
      </c>
      <c r="I34" t="str">
        <v>[RF][가정]위도우제인 10Y</v>
      </c>
      <c r="J34">
        <v>700</v>
      </c>
      <c r="K34">
        <v>6</v>
      </c>
      <c r="L34" t="str">
        <v>수입위스키</v>
      </c>
      <c r="M34">
        <v>162800</v>
      </c>
    </row>
    <row r="35">
      <c r="H35">
        <v>33</v>
      </c>
      <c r="I35" t="str">
        <v>[RF][가정]위도우제인 아메리칸오크</v>
      </c>
      <c r="J35">
        <v>700</v>
      </c>
      <c r="K35">
        <v>6</v>
      </c>
      <c r="L35" t="str">
        <v>수입위스키</v>
      </c>
      <c r="M35">
        <v>132000</v>
      </c>
    </row>
    <row r="36">
      <c r="H36">
        <v>34</v>
      </c>
      <c r="I36" t="str">
        <v>[RF][가정]위도우제인 오크앤애플우드</v>
      </c>
      <c r="J36">
        <v>700</v>
      </c>
      <c r="K36">
        <v>6</v>
      </c>
      <c r="L36" t="str">
        <v>수입위스키</v>
      </c>
      <c r="M36">
        <v>132000</v>
      </c>
    </row>
    <row r="37">
      <c r="H37">
        <v>35</v>
      </c>
      <c r="I37" t="str">
        <v>[RF][가정]일라이저 크레이그 스몰배치</v>
      </c>
      <c r="J37">
        <v>750</v>
      </c>
      <c r="K37">
        <v>12</v>
      </c>
      <c r="L37" t="str">
        <v>수입위스키</v>
      </c>
      <c r="M37">
        <v>65340</v>
      </c>
    </row>
    <row r="38">
      <c r="H38">
        <v>36</v>
      </c>
      <c r="I38" t="str">
        <v>[RF][가정]잭다니엘 (375ml)</v>
      </c>
      <c r="J38">
        <v>375</v>
      </c>
      <c r="K38">
        <v>24</v>
      </c>
      <c r="L38" t="str">
        <v>수입위스키</v>
      </c>
      <c r="M38">
        <v>23210</v>
      </c>
    </row>
    <row r="39">
      <c r="H39">
        <v>37</v>
      </c>
      <c r="I39" t="str">
        <v>[RF][가정]잭다니엘 (500ml)</v>
      </c>
      <c r="J39">
        <v>500</v>
      </c>
      <c r="K39">
        <v>12</v>
      </c>
      <c r="L39" t="str">
        <v>수입위스키</v>
      </c>
      <c r="M39">
        <v>29700</v>
      </c>
    </row>
    <row r="40">
      <c r="H40">
        <v>38</v>
      </c>
      <c r="I40" t="str">
        <v>[RF][가정]잭다니엘 (700ml)</v>
      </c>
      <c r="J40">
        <v>700</v>
      </c>
      <c r="K40">
        <v>12</v>
      </c>
      <c r="L40" t="str">
        <v>수입위스키</v>
      </c>
      <c r="M40">
        <v>41580</v>
      </c>
    </row>
    <row r="41">
      <c r="H41">
        <v>39</v>
      </c>
      <c r="I41" t="str">
        <v>[RF][가정]잭다니엘애플</v>
      </c>
      <c r="J41">
        <v>700</v>
      </c>
      <c r="K41">
        <v>12</v>
      </c>
      <c r="L41" t="str">
        <v>수입위스키</v>
      </c>
      <c r="M41">
        <v>41580</v>
      </c>
    </row>
    <row r="42">
      <c r="H42">
        <v>40</v>
      </c>
      <c r="I42" t="str">
        <v>[RF][가정]제임스이페퍼1776 버번</v>
      </c>
      <c r="J42">
        <v>750</v>
      </c>
      <c r="K42">
        <v>6</v>
      </c>
      <c r="L42" t="str">
        <v>수입위스키</v>
      </c>
      <c r="M42">
        <v>77000</v>
      </c>
    </row>
    <row r="43">
      <c r="H43">
        <v>41</v>
      </c>
      <c r="I43" t="str">
        <v>[RF][가정]제임슨1리터*</v>
      </c>
      <c r="J43">
        <v>1000</v>
      </c>
      <c r="K43">
        <v>12</v>
      </c>
      <c r="L43" t="str">
        <v>수입위스키</v>
      </c>
      <c r="M43">
        <v>36000</v>
      </c>
    </row>
    <row r="44">
      <c r="H44">
        <v>42</v>
      </c>
      <c r="I44" t="str">
        <v>[RF][가정]조니워커블랙 (500ml)</v>
      </c>
      <c r="J44">
        <v>500</v>
      </c>
      <c r="K44">
        <v>6</v>
      </c>
      <c r="L44" t="str">
        <v>수입위스키</v>
      </c>
      <c r="M44">
        <v>32670</v>
      </c>
    </row>
    <row r="45">
      <c r="H45">
        <v>43</v>
      </c>
      <c r="I45" t="str">
        <v>[RF][가정]조니워커블랙 (700ml)</v>
      </c>
      <c r="J45">
        <v>700</v>
      </c>
      <c r="K45">
        <v>6</v>
      </c>
      <c r="L45" t="str">
        <v>수입위스키</v>
      </c>
      <c r="M45">
        <v>47685</v>
      </c>
    </row>
    <row r="46">
      <c r="H46">
        <v>44</v>
      </c>
      <c r="I46" t="str">
        <v>[RF][가정]카발란 디스틸러리 셀렉트</v>
      </c>
      <c r="J46">
        <v>700</v>
      </c>
      <c r="K46">
        <v>3</v>
      </c>
      <c r="L46" t="str">
        <v>수입위스키</v>
      </c>
      <c r="M46">
        <v>87450</v>
      </c>
    </row>
    <row r="47">
      <c r="H47">
        <v>45</v>
      </c>
      <c r="I47" t="str">
        <v>[RF][가정]카발란 솔리스트 포트</v>
      </c>
      <c r="J47">
        <v>700</v>
      </c>
      <c r="K47">
        <v>3</v>
      </c>
      <c r="L47" t="str">
        <v>수입위스키</v>
      </c>
      <c r="M47">
        <v>287100</v>
      </c>
    </row>
    <row r="48">
      <c r="H48">
        <v>46</v>
      </c>
      <c r="I48" t="str">
        <v>[RF][가정]칼라일 블렌디드</v>
      </c>
      <c r="J48">
        <v>700</v>
      </c>
      <c r="K48">
        <v>12</v>
      </c>
      <c r="L48" t="str">
        <v>수입위스키</v>
      </c>
      <c r="M48">
        <v>11550</v>
      </c>
    </row>
    <row r="49">
      <c r="H49">
        <v>47</v>
      </c>
      <c r="I49" t="str">
        <v>[RF][가정]코쿤위스키</v>
      </c>
      <c r="J49">
        <v>600</v>
      </c>
      <c r="K49">
        <v>12</v>
      </c>
      <c r="L49" t="str">
        <v>수입위스키</v>
      </c>
      <c r="M49">
        <v>13750</v>
      </c>
    </row>
    <row r="50">
      <c r="H50">
        <v>48</v>
      </c>
      <c r="I50" t="str">
        <v>[RF][가정]킬베간</v>
      </c>
      <c r="J50">
        <v>700</v>
      </c>
      <c r="K50">
        <v>6</v>
      </c>
      <c r="L50" t="str">
        <v>수입위스키</v>
      </c>
      <c r="M50">
        <v>44000</v>
      </c>
    </row>
    <row r="51">
      <c r="H51">
        <v>49</v>
      </c>
      <c r="I51" t="str">
        <v>[RF][가정]툴리바딘 225 소테른 캐스크</v>
      </c>
      <c r="J51">
        <v>700</v>
      </c>
      <c r="K51">
        <v>6</v>
      </c>
      <c r="L51" t="str">
        <v>수입위스키</v>
      </c>
      <c r="M51">
        <v>82500</v>
      </c>
    </row>
    <row r="52">
      <c r="H52">
        <v>50</v>
      </c>
      <c r="I52" t="str">
        <v>[RF][가정]툴리바딘 228 버건디 캐스크</v>
      </c>
      <c r="J52">
        <v>700</v>
      </c>
      <c r="K52">
        <v>6</v>
      </c>
      <c r="L52" t="str">
        <v>수입위스키</v>
      </c>
      <c r="M52">
        <v>82500</v>
      </c>
    </row>
    <row r="53">
      <c r="H53">
        <v>51</v>
      </c>
      <c r="I53" t="str">
        <v>[RF][가정]툴리바딘 500 쉐리캐스크</v>
      </c>
      <c r="J53">
        <v>700</v>
      </c>
      <c r="K53">
        <v>6</v>
      </c>
      <c r="L53" t="str">
        <v>수입위스키</v>
      </c>
      <c r="M53">
        <v>82500</v>
      </c>
    </row>
    <row r="54">
      <c r="H54">
        <v>52</v>
      </c>
      <c r="I54" t="str">
        <v>[RF][가정]W19바이윈저</v>
      </c>
      <c r="J54">
        <v>450</v>
      </c>
      <c r="K54">
        <v>6</v>
      </c>
      <c r="L54" t="str">
        <v>위스키</v>
      </c>
      <c r="M54">
        <v>44000</v>
      </c>
    </row>
    <row r="55">
      <c r="H55">
        <v>53</v>
      </c>
      <c r="I55" t="str">
        <v>[RF][가정]골든블루 사피루스(12Y)</v>
      </c>
      <c r="J55">
        <v>450</v>
      </c>
      <c r="K55">
        <v>6</v>
      </c>
      <c r="L55" t="str">
        <v>위스키</v>
      </c>
      <c r="M55">
        <v>24255</v>
      </c>
    </row>
    <row r="56">
      <c r="H56">
        <v>54</v>
      </c>
      <c r="I56" t="str">
        <v>[RF][가정]스카치블루 12Y(350ml)</v>
      </c>
      <c r="J56">
        <v>350</v>
      </c>
      <c r="K56">
        <v>12</v>
      </c>
      <c r="L56" t="str">
        <v>위스키</v>
      </c>
      <c r="M56">
        <v>18480</v>
      </c>
    </row>
    <row r="57">
      <c r="H57">
        <v>55</v>
      </c>
      <c r="I57" t="str">
        <v>[RF][가정]윈저 12Y</v>
      </c>
      <c r="J57">
        <v>500</v>
      </c>
      <c r="K57">
        <v>6</v>
      </c>
      <c r="L57" t="str">
        <v>위스키</v>
      </c>
      <c r="M57">
        <v>26620</v>
      </c>
    </row>
    <row r="58">
      <c r="H58">
        <v>56</v>
      </c>
      <c r="I58" t="str">
        <v>[RF][가정]윈저 17Y</v>
      </c>
      <c r="J58">
        <v>450</v>
      </c>
      <c r="K58">
        <v>6</v>
      </c>
      <c r="L58" t="str">
        <v>위스키</v>
      </c>
      <c r="M58">
        <v>40040</v>
      </c>
    </row>
    <row r="59">
      <c r="H59">
        <v>57</v>
      </c>
      <c r="I59" t="str">
        <v>[RF][가정]팬텀디오리지널 리저브</v>
      </c>
      <c r="J59">
        <v>450</v>
      </c>
      <c r="K59">
        <v>6</v>
      </c>
      <c r="L59" t="str">
        <v>위스키</v>
      </c>
      <c r="M59">
        <v>18920</v>
      </c>
    </row>
    <row r="60">
      <c r="H60">
        <v>58</v>
      </c>
      <c r="I60" t="str">
        <v>[RF][가정]잭다니엘허니 (375ml)</v>
      </c>
      <c r="J60">
        <v>375</v>
      </c>
      <c r="K60">
        <v>24</v>
      </c>
      <c r="L60" t="str">
        <v>위스키(기타주류)</v>
      </c>
      <c r="M60">
        <v>23210</v>
      </c>
    </row>
    <row r="61">
      <c r="H61">
        <v>59</v>
      </c>
      <c r="I61" t="str">
        <v>[RF][가정]잭다니엘허니 (700ml)</v>
      </c>
      <c r="J61">
        <v>700</v>
      </c>
      <c r="K61">
        <v>12</v>
      </c>
      <c r="L61" t="str">
        <v>위스키(기타주류)</v>
      </c>
      <c r="M61">
        <v>41580</v>
      </c>
    </row>
    <row r="62">
      <c r="H62">
        <v>60</v>
      </c>
      <c r="I62" t="str">
        <v>미다이 위스키 (재패니즈)</v>
      </c>
      <c r="J62">
        <v>700</v>
      </c>
      <c r="K62">
        <v>12</v>
      </c>
      <c r="L62" t="str">
        <v>위스키(일반증류주)</v>
      </c>
      <c r="M62">
        <v>25740</v>
      </c>
    </row>
  </sheetData>
  <mergeCells count="1">
    <mergeCell ref="A2:D2"/>
  </mergeCells>
  <ignoredErrors>
    <ignoredError numberStoredAsText="1" sqref="A1:M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00"/>
  <sheetViews>
    <sheetView workbookViewId="0"/>
  </sheetViews>
  <sheetData>
    <row r="1">
      <c r="A1" t="str">
        <v>No</v>
      </c>
      <c r="B1" t="str">
        <v>항목</v>
      </c>
      <c r="C1" t="str">
        <v>용량</v>
      </c>
      <c r="D1" t="str">
        <v>수량</v>
      </c>
      <c r="F1" t="str">
        <v>공급가(+부가세)</v>
      </c>
      <c r="G1" t="str">
        <v>판가</v>
      </c>
      <c r="H1" t="str">
        <v>마진율</v>
      </c>
      <c r="I1" t="str">
        <v>비고</v>
      </c>
    </row>
    <row r="2">
      <c r="A2">
        <v>1</v>
      </c>
      <c r="B2" t="str">
        <v>잭다니엘</v>
      </c>
      <c r="C2">
        <v>375</v>
      </c>
      <c r="D2">
        <v>2</v>
      </c>
      <c r="F2">
        <f>51062/2</f>
        <v>25531</v>
      </c>
      <c r="G2">
        <v>36000</v>
      </c>
      <c r="H2">
        <f>(G2-F2)/G2</f>
        <v>0.2908055556</v>
      </c>
    </row>
    <row r="3">
      <c r="A3">
        <v>2</v>
      </c>
      <c r="B3" t="str">
        <v>잭다니엘 허니</v>
      </c>
      <c r="C3">
        <v>375</v>
      </c>
      <c r="D3">
        <v>2</v>
      </c>
      <c r="F3">
        <f>55704/2</f>
        <v>27852</v>
      </c>
      <c r="G3">
        <v>39000</v>
      </c>
      <c r="H3">
        <f>(G3-F3)/G3</f>
        <v>0.2858461538</v>
      </c>
    </row>
    <row r="4">
      <c r="A4">
        <v>3</v>
      </c>
      <c r="B4" t="str">
        <v>로트 석류</v>
      </c>
      <c r="C4">
        <v>200</v>
      </c>
      <c r="D4">
        <v>8</v>
      </c>
      <c r="F4">
        <f>15976/8</f>
        <v>1997</v>
      </c>
      <c r="G4">
        <v>4900</v>
      </c>
      <c r="H4">
        <f>(G4-F4)/G4</f>
        <v>0.5924489796</v>
      </c>
    </row>
    <row r="5">
      <c r="A5">
        <v>4</v>
      </c>
      <c r="B5" t="str">
        <v>로트캡션 브뤼</v>
      </c>
      <c r="C5">
        <v>750</v>
      </c>
      <c r="D5">
        <v>2</v>
      </c>
      <c r="E5" t="str">
        <v>인디] 로트 캡션 브뤼 샴페인 750ml</v>
      </c>
      <c r="F5">
        <f>19360/2</f>
        <v>9680</v>
      </c>
      <c r="G5">
        <v>17900</v>
      </c>
      <c r="H5">
        <f>(G5-F5)/G5</f>
        <v>0.4592178771</v>
      </c>
      <c r="I5" t="str">
        <v>신규</v>
      </c>
    </row>
    <row r="6">
      <c r="A6">
        <v>5</v>
      </c>
      <c r="B6" t="str">
        <v>로트 캡션 로제</v>
      </c>
      <c r="C6">
        <v>750</v>
      </c>
      <c r="D6">
        <v>1</v>
      </c>
      <c r="E6" t="str">
        <v>인디] 로트 캡션 로제 샴페인 750ml</v>
      </c>
      <c r="F6">
        <v>9680</v>
      </c>
      <c r="G6">
        <v>17900</v>
      </c>
      <c r="H6">
        <f>(G6-F6)/G6</f>
        <v>0.4592178771</v>
      </c>
    </row>
    <row r="7">
      <c r="A7">
        <v>6</v>
      </c>
      <c r="B7" t="str">
        <v>G7(지세븐) 까.쇼</v>
      </c>
      <c r="C7">
        <v>750</v>
      </c>
      <c r="D7">
        <v>1</v>
      </c>
      <c r="E7" t="str">
        <v>G7 까베르네 소비뇽</v>
      </c>
      <c r="F7">
        <v>7018</v>
      </c>
      <c r="G7">
        <v>18000</v>
      </c>
      <c r="H7">
        <f>(G7-F7)/G7</f>
        <v>0.6101111111</v>
      </c>
      <c r="I7" t="str">
        <v>신규</v>
      </c>
    </row>
    <row r="8">
      <c r="A8">
        <v>7</v>
      </c>
      <c r="B8" t="str">
        <v>G7(지세븐) 샤도네이</v>
      </c>
      <c r="C8">
        <v>750</v>
      </c>
      <c r="D8">
        <v>1</v>
      </c>
      <c r="E8" t="str">
        <v>G7 샤르도네</v>
      </c>
      <c r="F8">
        <v>7018</v>
      </c>
      <c r="G8">
        <v>18000</v>
      </c>
      <c r="H8">
        <f>(G8-F8)/G8</f>
        <v>0.6101111111</v>
      </c>
      <c r="I8" t="str">
        <v>신규</v>
      </c>
    </row>
    <row r="9">
      <c r="A9">
        <v>8</v>
      </c>
      <c r="B9" t="str">
        <v>디아블로 까.쇼</v>
      </c>
      <c r="C9">
        <v>750</v>
      </c>
      <c r="D9">
        <v>1</v>
      </c>
      <c r="E9" t="str">
        <v>디아블로 까베르네 소비뇽</v>
      </c>
      <c r="F9">
        <v>11314</v>
      </c>
      <c r="G9">
        <v>23000</v>
      </c>
      <c r="H9">
        <f>(G9-F9)/G9</f>
        <v>0.5080869565</v>
      </c>
    </row>
    <row r="10">
      <c r="A10">
        <v>9</v>
      </c>
      <c r="B10" t="str">
        <v>디아블로 샤르도네</v>
      </c>
      <c r="C10">
        <v>750</v>
      </c>
      <c r="D10">
        <v>1</v>
      </c>
      <c r="E10" t="str">
        <v>결품</v>
      </c>
      <c r="H10" t="str">
        <f>(G10-F10)/G10</f>
        <v>#DIV/0!</v>
      </c>
    </row>
    <row r="11">
      <c r="A11">
        <v>10</v>
      </c>
      <c r="B11" t="str">
        <v>빌라엠 비앙코</v>
      </c>
      <c r="C11">
        <v>750</v>
      </c>
      <c r="D11">
        <v>1</v>
      </c>
      <c r="E11" t="str">
        <v>빌라 엠, 비앙코</v>
      </c>
      <c r="F11">
        <v>23777</v>
      </c>
      <c r="G11">
        <v>36000</v>
      </c>
      <c r="H11">
        <f>(G11-F11)/G11</f>
        <v>0.3395277778</v>
      </c>
      <c r="I11" t="str">
        <v>신규</v>
      </c>
    </row>
    <row r="12">
      <c r="A12">
        <v>11</v>
      </c>
      <c r="B12" t="str">
        <v>빌라엠 로쏘</v>
      </c>
      <c r="C12">
        <v>750</v>
      </c>
      <c r="D12">
        <v>1</v>
      </c>
      <c r="E12" t="str">
        <v>빌라 엠, 로쏘</v>
      </c>
      <c r="F12">
        <v>25894</v>
      </c>
      <c r="G12">
        <v>39000</v>
      </c>
      <c r="H12">
        <f>(G12-F12)/G12</f>
        <v>0.3360512821</v>
      </c>
      <c r="I12" t="str">
        <v>신규</v>
      </c>
    </row>
    <row r="13">
      <c r="A13">
        <v>12</v>
      </c>
      <c r="B13" t="str">
        <v>옐로우테일 쉬라즈(187ml)</v>
      </c>
      <c r="C13">
        <v>187</v>
      </c>
      <c r="D13">
        <v>2</v>
      </c>
      <c r="E13" t="str">
        <v>옐로우 테일, 쉬라즈</v>
      </c>
      <c r="F13">
        <f>7018/2</f>
        <v>3509</v>
      </c>
      <c r="G13">
        <v>6000</v>
      </c>
      <c r="H13">
        <f>(G13-F13)/G13</f>
        <v>0.4151666667</v>
      </c>
    </row>
    <row r="14">
      <c r="A14">
        <v>13</v>
      </c>
      <c r="B14" t="str">
        <v>옐로우테일 세미 쇼.블(187ml)</v>
      </c>
      <c r="C14">
        <v>187</v>
      </c>
      <c r="D14">
        <v>2</v>
      </c>
      <c r="E14" t="str">
        <v>옐로우 테일, 세미용 소비뇽 블랑</v>
      </c>
      <c r="F14">
        <f>7018/2</f>
        <v>3509</v>
      </c>
      <c r="G14">
        <v>6000</v>
      </c>
      <c r="H14">
        <f>(G14-F14)/G14</f>
        <v>0.4151666667</v>
      </c>
      <c r="I14" t="str">
        <v>신규</v>
      </c>
    </row>
    <row r="15">
      <c r="A15">
        <v>14</v>
      </c>
      <c r="B15" t="str">
        <v>옐로우테일 쉬라즈 리저브</v>
      </c>
      <c r="C15">
        <v>750</v>
      </c>
      <c r="D15">
        <v>1</v>
      </c>
      <c r="E15" t="str">
        <v>옐로우 테일, 쉬라즈 리저브</v>
      </c>
      <c r="F15">
        <v>18150</v>
      </c>
      <c r="G15">
        <v>31000</v>
      </c>
      <c r="H15">
        <f>(G15-F15)/G15</f>
        <v>0.414516129</v>
      </c>
      <c r="I15" t="str">
        <v>신규</v>
      </c>
    </row>
    <row r="16">
      <c r="A16">
        <v>15</v>
      </c>
      <c r="B16" t="str">
        <v>옐로우테일 핑크 모스카토</v>
      </c>
      <c r="C16">
        <v>750</v>
      </c>
      <c r="D16">
        <v>1</v>
      </c>
      <c r="E16" t="str">
        <v>옐로우 테일, 핑크 모스카토</v>
      </c>
      <c r="F16">
        <v>13068</v>
      </c>
      <c r="G16">
        <v>23000</v>
      </c>
      <c r="H16">
        <f>(G16-F16)/G16</f>
        <v>0.431826087</v>
      </c>
    </row>
    <row r="17">
      <c r="A17">
        <v>16</v>
      </c>
      <c r="B17" t="str">
        <v>옐로우테일 까.쇼</v>
      </c>
      <c r="C17">
        <v>750</v>
      </c>
      <c r="D17">
        <v>1</v>
      </c>
      <c r="E17" t="str">
        <v>옐로우 테일, 까베르네 소비뇽</v>
      </c>
      <c r="F17">
        <v>12100</v>
      </c>
      <c r="G17">
        <v>21000</v>
      </c>
      <c r="H17">
        <f>(G17-F17)/G17</f>
        <v>0.4238095238</v>
      </c>
    </row>
    <row r="18">
      <c r="A18">
        <v>17</v>
      </c>
      <c r="B18" t="str">
        <v>옐로우테일 쉬라즈</v>
      </c>
      <c r="C18">
        <v>750</v>
      </c>
      <c r="D18">
        <v>1</v>
      </c>
      <c r="E18" t="str">
        <v>옐로우 테일, 쉬라즈</v>
      </c>
      <c r="F18">
        <v>12100</v>
      </c>
      <c r="G18">
        <v>21000</v>
      </c>
      <c r="H18">
        <f>(G18-F18)/G18</f>
        <v>0.4238095238</v>
      </c>
    </row>
    <row r="19">
      <c r="D19">
        <f>SUM(D2:D18)</f>
        <v>29</v>
      </c>
    </row>
    <row r="28">
      <c r="B28">
        <v>14000</v>
      </c>
    </row>
    <row r="29">
      <c r="B29">
        <f>B28/8</f>
        <v>1750</v>
      </c>
      <c r="F29">
        <v>28314</v>
      </c>
      <c r="G29">
        <v>44000</v>
      </c>
      <c r="H29">
        <f>(G29-F29)/G29</f>
        <v>0.3565</v>
      </c>
    </row>
    <row r="31">
      <c r="B31">
        <v>13440</v>
      </c>
    </row>
    <row r="32">
      <c r="B32">
        <f>B31/16</f>
        <v>840</v>
      </c>
    </row>
    <row r="34">
      <c r="D34">
        <v>19600</v>
      </c>
    </row>
    <row r="35">
      <c r="D35">
        <f>D34/35</f>
        <v>560</v>
      </c>
    </row>
  </sheetData>
  <ignoredErrors>
    <ignoredError numberStoredAsText="1" sqref="A1:I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999"/>
  <sheetViews>
    <sheetView workbookViewId="0"/>
  </sheetViews>
  <sheetData>
    <row r="1">
      <c r="A1" t="str">
        <v>No</v>
      </c>
      <c r="B1" t="str">
        <v>항목</v>
      </c>
      <c r="C1" t="str">
        <v>용량</v>
      </c>
      <c r="D1" t="str">
        <v>수량</v>
      </c>
      <c r="F1" t="str">
        <v>공급가(+부가세)</v>
      </c>
      <c r="G1" t="str">
        <v>판가</v>
      </c>
      <c r="H1" t="str">
        <v>마진율</v>
      </c>
      <c r="I1" t="str">
        <v>비고</v>
      </c>
    </row>
    <row r="2">
      <c r="A2">
        <v>1</v>
      </c>
      <c r="B2" t="str">
        <v>잭다니엘</v>
      </c>
      <c r="C2">
        <v>375</v>
      </c>
      <c r="D2">
        <v>2</v>
      </c>
      <c r="F2">
        <f>51062/2</f>
        <v>25531</v>
      </c>
      <c r="G2">
        <v>36000</v>
      </c>
      <c r="H2">
        <f>(G2-F2)/G2</f>
        <v>0.2908055556</v>
      </c>
    </row>
    <row r="3">
      <c r="A3">
        <v>2</v>
      </c>
      <c r="B3" t="str">
        <v>잭다니엘 허니</v>
      </c>
      <c r="C3">
        <v>375</v>
      </c>
      <c r="D3">
        <v>2</v>
      </c>
      <c r="F3">
        <f>55704/2</f>
        <v>27852</v>
      </c>
      <c r="G3">
        <v>39000</v>
      </c>
      <c r="H3">
        <f>(G3-F3)/G3</f>
        <v>0.2858461538</v>
      </c>
    </row>
    <row r="4">
      <c r="A4">
        <v>3</v>
      </c>
      <c r="B4" t="str">
        <v>로트 석류</v>
      </c>
      <c r="C4">
        <v>200</v>
      </c>
      <c r="D4">
        <v>4</v>
      </c>
      <c r="F4">
        <f>15976/8</f>
        <v>1997</v>
      </c>
      <c r="G4">
        <v>4900</v>
      </c>
      <c r="H4">
        <f>(G4-F4)/G4</f>
        <v>0.5924489796</v>
      </c>
    </row>
    <row r="5">
      <c r="A5">
        <v>4</v>
      </c>
      <c r="B5" t="str">
        <v>로트 캡션 로제</v>
      </c>
      <c r="C5">
        <v>750</v>
      </c>
      <c r="D5">
        <v>1</v>
      </c>
      <c r="E5" t="str">
        <v>인디] 로트 캡션 로제 샴페인 750ml</v>
      </c>
      <c r="F5">
        <v>9680</v>
      </c>
      <c r="G5">
        <v>17900</v>
      </c>
      <c r="H5">
        <f>(G5-F5)/G5</f>
        <v>0.4592178771</v>
      </c>
    </row>
    <row r="6">
      <c r="A6">
        <v>5</v>
      </c>
      <c r="B6" t="str">
        <v>디아블로 까.쇼</v>
      </c>
      <c r="C6">
        <v>750</v>
      </c>
      <c r="D6">
        <v>1</v>
      </c>
      <c r="E6" t="str">
        <v>디아블로 까베르네 소비뇽</v>
      </c>
      <c r="F6">
        <v>11314</v>
      </c>
      <c r="G6">
        <v>23000</v>
      </c>
      <c r="H6">
        <f>(G6-F6)/G6</f>
        <v>0.5080869565</v>
      </c>
    </row>
    <row r="7">
      <c r="A7">
        <v>6</v>
      </c>
      <c r="B7" t="str">
        <v>옐로우테일 쉬라즈(187ml)</v>
      </c>
      <c r="C7">
        <v>187</v>
      </c>
      <c r="D7">
        <v>2</v>
      </c>
      <c r="E7" t="str">
        <v>옐로우 테일, 쉬라즈</v>
      </c>
      <c r="F7">
        <f>7018/2</f>
        <v>3509</v>
      </c>
      <c r="G7">
        <v>6000</v>
      </c>
      <c r="H7">
        <f>(G7-F7)/G7</f>
        <v>0.4151666667</v>
      </c>
    </row>
    <row r="8">
      <c r="A8">
        <v>7</v>
      </c>
      <c r="B8" t="str">
        <v>옐로우테일 세미 쇼.블(187ml)</v>
      </c>
      <c r="C8">
        <v>187</v>
      </c>
      <c r="D8">
        <v>2</v>
      </c>
      <c r="E8" t="str">
        <v>옐로우 테일, 세미용 소비뇽 블랑</v>
      </c>
      <c r="F8">
        <f>7018/2</f>
        <v>3509</v>
      </c>
      <c r="G8">
        <v>6000</v>
      </c>
      <c r="H8">
        <f>(G8-F8)/G8</f>
        <v>0.4151666667</v>
      </c>
      <c r="I8" t="str">
        <v>신규</v>
      </c>
    </row>
    <row r="9">
      <c r="A9">
        <v>8</v>
      </c>
      <c r="B9" t="str">
        <v>옐로우테일 쉬라즈 리저브</v>
      </c>
      <c r="C9">
        <v>750</v>
      </c>
      <c r="D9">
        <v>1</v>
      </c>
      <c r="E9" t="str">
        <v>옐로우 테일, 쉬라즈 리저브</v>
      </c>
      <c r="F9">
        <v>18150</v>
      </c>
      <c r="G9">
        <v>31000</v>
      </c>
      <c r="H9">
        <f>(G9-F9)/G9</f>
        <v>0.414516129</v>
      </c>
      <c r="I9" t="str">
        <v>신규</v>
      </c>
    </row>
    <row r="10">
      <c r="A10">
        <v>9</v>
      </c>
      <c r="B10" t="str">
        <v>옐로우테일 핑크 모스카토</v>
      </c>
      <c r="C10">
        <v>750</v>
      </c>
      <c r="D10">
        <v>1</v>
      </c>
      <c r="E10" t="str">
        <v>옐로우 테일, 핑크 모스카토</v>
      </c>
      <c r="F10">
        <v>13068</v>
      </c>
      <c r="G10">
        <v>23000</v>
      </c>
      <c r="H10">
        <f>(G10-F10)/G10</f>
        <v>0.431826087</v>
      </c>
    </row>
    <row r="11">
      <c r="A11">
        <v>10</v>
      </c>
      <c r="B11" t="str">
        <v>옐로우테일 까.쇼</v>
      </c>
      <c r="C11">
        <v>750</v>
      </c>
      <c r="D11">
        <v>1</v>
      </c>
      <c r="E11" t="str">
        <v>옐로우 테일, 까베르네 소비뇽</v>
      </c>
      <c r="F11">
        <v>12100</v>
      </c>
      <c r="G11">
        <v>21000</v>
      </c>
      <c r="H11">
        <f>(G11-F11)/G11</f>
        <v>0.4238095238</v>
      </c>
    </row>
    <row r="12">
      <c r="A12">
        <v>11</v>
      </c>
      <c r="B12" t="str">
        <v>옐로우테일 쉬라즈</v>
      </c>
      <c r="C12">
        <v>750</v>
      </c>
      <c r="D12">
        <v>1</v>
      </c>
      <c r="E12" t="str">
        <v>옐로우 테일, 쉬라즈</v>
      </c>
      <c r="F12">
        <v>12100</v>
      </c>
      <c r="G12">
        <v>21000</v>
      </c>
      <c r="H12">
        <f>(G12-F12)/G12</f>
        <v>0.4238095238</v>
      </c>
    </row>
    <row r="13">
      <c r="A13">
        <v>12</v>
      </c>
      <c r="B13" t="str">
        <v>킴 크로포드 말보로 쇼.블(375ml)</v>
      </c>
      <c r="C13">
        <v>375</v>
      </c>
      <c r="D13">
        <v>2</v>
      </c>
    </row>
    <row r="14">
      <c r="A14">
        <v>13</v>
      </c>
      <c r="B14" t="str">
        <v>GB 꼬뜨 로즈 블랑</v>
      </c>
      <c r="C14">
        <v>375</v>
      </c>
      <c r="D14">
        <v>2</v>
      </c>
    </row>
    <row r="18">
      <c r="D18">
        <f>SUM(D2:D14)</f>
        <v>22</v>
      </c>
    </row>
    <row r="27">
      <c r="B27">
        <v>14000</v>
      </c>
    </row>
    <row r="28">
      <c r="B28">
        <f>B27/8</f>
        <v>1750</v>
      </c>
      <c r="F28">
        <v>28314</v>
      </c>
      <c r="G28">
        <v>44000</v>
      </c>
      <c r="H28">
        <f>(G28-F28)/G28</f>
        <v>0.3565</v>
      </c>
    </row>
    <row r="30">
      <c r="B30">
        <v>13440</v>
      </c>
    </row>
    <row r="31">
      <c r="B31">
        <f>B30/16</f>
        <v>840</v>
      </c>
    </row>
    <row r="33">
      <c r="D33">
        <v>19600</v>
      </c>
    </row>
    <row r="34">
      <c r="D34">
        <f>D33/35</f>
        <v>560</v>
      </c>
    </row>
  </sheetData>
  <ignoredErrors>
    <ignoredError numberStoredAsText="1" sqref="A1:I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20260905</vt:lpstr>
      <vt:lpstr>20260715</vt:lpstr>
      <vt:lpstr>20260419</vt:lpstr>
      <vt:lpstr>20260225</vt:lpstr>
      <vt:lpstr>20251217</vt:lpstr>
      <vt:lpstr>202304</vt:lpstr>
      <vt:lpstr>202304_우린</vt:lpstr>
      <vt:lpstr>202304_부성</vt:lpstr>
      <vt:lpstr>202305_부성</vt:lpstr>
      <vt:lpstr>20230603_부성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