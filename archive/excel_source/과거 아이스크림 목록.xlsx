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60905" sheetId="1" r:id="rId1"/>
    <sheet name="Sheet1" sheetId="2" r:id="rId2"/>
    <sheet name="260715" sheetId="3" r:id="rId3"/>
    <sheet name="260419" sheetId="4" r:id="rId4"/>
    <sheet name="시트1" sheetId="5" r:id="rId5"/>
    <sheet name="260225" sheetId="6" r:id="rId6"/>
    <sheet name="251227" sheetId="7" r:id="rId7"/>
    <sheet name="251028" sheetId="8" r:id="rId8"/>
  </sheets>
  <definedNames>
    <definedName name="_xlnm._FilterDatabase" localSheetId="2">'260715'!A2:J55</definedName>
    <definedName name="_xlnm._FilterDatabase" localSheetId="3">'260419'!A2:J55</definedName>
    <definedName name="_xlnm._FilterDatabase" localSheetId="5">'260225'!A2:J53</definedName>
    <definedName name="_xlnm._FilterDatabase" localSheetId="6">'251227'!A2:J49</definedName>
    <definedName name="_xlnm._FilterDatabase" localSheetId="7">'251028'!A2:J49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8"/>
  <sheetViews>
    <sheetView workbookViewId="0"/>
  </sheetViews>
  <cols>
    <col min="1" max="1" width="6.83203125" customWidth="1"/>
    <col min="2" max="2" width="28.83203125" customWidth="1"/>
    <col min="3" max="3" width="22.83203125" customWidth="1"/>
    <col min="4" max="4" width="15.83203125" customWidth="1"/>
    <col min="5" max="5" width="14.83203125" customWidth="1"/>
    <col min="6" max="6" width="12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38.83203125" customWidth="1"/>
    <col min="12" max="12" width="20.83203125" customWidth="1"/>
    <col min="13" max="13" width="20.83203125" customWidth="1"/>
    <col min="14" max="14" width="14.83203125" customWidth="1"/>
    <col min="15" max="15" width="18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2.83203125" customWidth="1"/>
    <col min="21" max="21" width="9.83203125" customWidth="1"/>
  </cols>
  <sheetData>
    <row r="1">
      <c r="A1" t="str">
        <v>🛒 [260905 아이스크림 최종 확정 발주서 (총 9종 9박스 / 156,500원)]</v>
      </c>
    </row>
    <row r="2">
      <c r="A2" t="str">
        <v>• 메로나 (1박스 / 40입 / 17,280원) - 판매 1위 바닥남 긴급보충</v>
      </c>
    </row>
    <row r="3">
      <c r="A3" t="str">
        <v>• 바닐라빵빠레 (1박스 / 15입 / 14,700원) - 판매 2위 전량 품절 보충</v>
      </c>
    </row>
    <row r="4">
      <c r="A4" t="str">
        <v>• 초코빵빠레 (1박스 / 15입 / 14,700원) - 완판 바닥남 구색 보충</v>
      </c>
    </row>
    <row r="5">
      <c r="A5" t="str">
        <v>• 더블비얀코 (1박스 / 15입 / 14,700원) - 소프트컵 전멸 구색 보충</v>
      </c>
    </row>
    <row r="6">
      <c r="A6" t="str">
        <v>• 구구콘 (1박스 / 24입 / 20,160원) - 초코콘 인기품 보충</v>
      </c>
    </row>
    <row r="7">
      <c r="A7" t="str">
        <v>• 해태] 찐 팥빙수 (1박스 / 16입 / 22,400원) - 바닥에 딱 2개 남아 긴급 보충</v>
      </c>
    </row>
    <row r="8">
      <c r="A8" t="str">
        <v>• 투게더그라시아 미니(쿠앤크) (1박스 / 8입 / 15,680원) - 쿠앤크맛 완판 바닥 (와 대신 교체)</v>
      </c>
    </row>
    <row r="9">
      <c r="A9" t="str">
        <v>• 비비빅 (1박스 / 40입 / 17,280원) - 바닥권 소량 잔여 스테디셀러</v>
      </c>
    </row>
    <row r="10">
      <c r="A10" t="str">
        <v>• 탱크보이 (1박스 / 30입 / 19,600원) - 튜브류 바닥권 구색 보충</v>
      </c>
    </row>
    <row r="11">
      <c r="A11" t="str">
        <v>※ 수박바(1박스)는 사장님 요청으로 최종 발주 제외 처리되었습니다.</v>
      </c>
    </row>
    <row r="13">
      <c r="A13" t="str">
        <v>총 발주 합계</v>
      </c>
      <c r="B13" t="str">
        <v>9박스</v>
      </c>
      <c r="C13" t="str">
        <v>총 주문금액</v>
      </c>
      <c r="D13" t="str">
        <v>156,500원</v>
      </c>
    </row>
    <row r="15">
      <c r="A15" t="str">
        <v>순위</v>
      </c>
      <c r="B15" t="str">
        <v>품명</v>
      </c>
      <c r="C15" t="str">
        <v>포스 현재고 (누적판매)</v>
      </c>
      <c r="D15" t="str">
        <v>오늘 발주 (박스)</v>
      </c>
      <c r="E15" t="str">
        <v>주문액</v>
      </c>
      <c r="F15" t="str">
        <v>박스원가</v>
      </c>
      <c r="G15" t="str">
        <v>박스입수</v>
      </c>
      <c r="H15" t="str">
        <v>개당원가</v>
      </c>
      <c r="I15" t="str">
        <v>판매가</v>
      </c>
      <c r="J15" t="str">
        <v>마진율</v>
      </c>
      <c r="K15" t="str">
        <v>재고 상태 및 현장사진 판독</v>
      </c>
      <c r="L15" t="str">
        <v>이후판매량 (260715~)</v>
      </c>
      <c r="M15" t="str">
        <v>[1회 전] 260715 (직전)</v>
      </c>
      <c r="N15" t="str">
        <v>직전입고 (개수)</v>
      </c>
      <c r="O15" t="str">
        <v>추정 잔여재고 (개수)</v>
      </c>
      <c r="P15" t="str">
        <v>[2회 전] 260419</v>
      </c>
      <c r="Q15" t="str">
        <v>[3회 전] 260225</v>
      </c>
      <c r="R15" t="str">
        <v>[4회 전] 251227</v>
      </c>
      <c r="S15" t="str">
        <v>[5회 전] 251028</v>
      </c>
      <c r="T15" t="str">
        <v>누적총박스</v>
      </c>
      <c r="U15" t="str">
        <v>기존순번</v>
      </c>
    </row>
    <row r="16">
      <c r="A16">
        <v>1</v>
      </c>
      <c r="B16" t="str">
        <v>메로나</v>
      </c>
      <c r="C16">
        <v>-298</v>
      </c>
      <c r="D16">
        <v>1</v>
      </c>
      <c r="E16">
        <v>17280</v>
      </c>
      <c r="F16">
        <v>17280</v>
      </c>
      <c r="G16">
        <v>40</v>
      </c>
      <c r="H16">
        <v>432</v>
      </c>
      <c r="I16">
        <v>1300</v>
      </c>
      <c r="J16">
        <v>0.668</v>
      </c>
      <c r="K16" t="str">
        <v>🚨 판매1위 실재고 전멸 (긴급보충)</v>
      </c>
      <c r="L16">
        <v>22</v>
      </c>
      <c r="M16" t="str">
        <v>-</v>
      </c>
      <c r="N16" t="str">
        <v>-</v>
      </c>
      <c r="O16">
        <v>0</v>
      </c>
      <c r="P16">
        <v>1</v>
      </c>
      <c r="Q16">
        <v>1</v>
      </c>
      <c r="R16" t="str">
        <v>-</v>
      </c>
      <c r="S16">
        <v>1</v>
      </c>
      <c r="T16">
        <v>4</v>
      </c>
      <c r="U16">
        <v>13</v>
      </c>
    </row>
    <row r="17">
      <c r="A17">
        <v>2</v>
      </c>
      <c r="B17" t="str">
        <v>바닐라빵빠레</v>
      </c>
      <c r="C17">
        <v>-221</v>
      </c>
      <c r="D17">
        <v>1</v>
      </c>
      <c r="E17">
        <v>14700</v>
      </c>
      <c r="F17">
        <v>14700</v>
      </c>
      <c r="G17">
        <v>15</v>
      </c>
      <c r="H17">
        <v>980</v>
      </c>
      <c r="I17">
        <v>1500</v>
      </c>
      <c r="J17">
        <v>0.347</v>
      </c>
      <c r="K17" t="str">
        <v>🚨 판매2위 전량소진 품절 (1~2개 잔여)</v>
      </c>
      <c r="L17">
        <v>20</v>
      </c>
      <c r="M17">
        <v>1</v>
      </c>
      <c r="N17">
        <v>15</v>
      </c>
      <c r="O17">
        <v>0</v>
      </c>
      <c r="P17" t="str">
        <v>-</v>
      </c>
      <c r="Q17" t="str">
        <v>-</v>
      </c>
      <c r="R17" t="str">
        <v>-</v>
      </c>
      <c r="S17" t="str">
        <v>-</v>
      </c>
      <c r="T17">
        <v>2</v>
      </c>
      <c r="U17">
        <v>5</v>
      </c>
    </row>
    <row r="18">
      <c r="A18">
        <v>3</v>
      </c>
      <c r="B18" t="str">
        <v>초코빵빠레</v>
      </c>
      <c r="C18">
        <v>-241</v>
      </c>
      <c r="D18">
        <v>1</v>
      </c>
      <c r="E18">
        <v>14700</v>
      </c>
      <c r="F18">
        <v>14700</v>
      </c>
      <c r="G18">
        <v>15</v>
      </c>
      <c r="H18">
        <v>980</v>
      </c>
      <c r="I18">
        <v>1500</v>
      </c>
      <c r="J18">
        <v>0.347</v>
      </c>
      <c r="K18" t="str">
        <v>🚨 바닥남 품절 (구색 보충)</v>
      </c>
      <c r="L18">
        <v>15</v>
      </c>
      <c r="M18">
        <v>1</v>
      </c>
      <c r="N18">
        <v>15</v>
      </c>
      <c r="O18">
        <v>0</v>
      </c>
      <c r="P18" t="str">
        <v>-</v>
      </c>
      <c r="Q18" t="str">
        <v>-</v>
      </c>
      <c r="R18" t="str">
        <v>-</v>
      </c>
      <c r="S18">
        <v>1</v>
      </c>
      <c r="T18">
        <v>3</v>
      </c>
      <c r="U18">
        <v>4</v>
      </c>
    </row>
    <row r="19">
      <c r="A19">
        <v>4</v>
      </c>
      <c r="B19" t="str">
        <v>비비빅</v>
      </c>
      <c r="C19">
        <v>-69</v>
      </c>
      <c r="D19">
        <v>1</v>
      </c>
      <c r="E19">
        <v>17280</v>
      </c>
      <c r="F19">
        <v>17280</v>
      </c>
      <c r="G19">
        <v>40</v>
      </c>
      <c r="H19">
        <v>432</v>
      </c>
      <c r="I19">
        <v>1300</v>
      </c>
      <c r="J19">
        <v>0.668</v>
      </c>
      <c r="K19" t="str">
        <v>⚠️ 판매상위권 바닥권 소량 잔여</v>
      </c>
      <c r="L19">
        <v>14</v>
      </c>
      <c r="M19" t="str">
        <v>-</v>
      </c>
      <c r="N19" t="str">
        <v>-</v>
      </c>
      <c r="O19">
        <v>0</v>
      </c>
      <c r="P19" t="str">
        <v>-</v>
      </c>
      <c r="Q19" t="str">
        <v>-</v>
      </c>
      <c r="R19" t="str">
        <v>-</v>
      </c>
      <c r="S19">
        <v>1</v>
      </c>
      <c r="T19">
        <v>2</v>
      </c>
      <c r="U19">
        <v>32</v>
      </c>
    </row>
    <row r="20">
      <c r="A20">
        <v>5</v>
      </c>
      <c r="B20" t="str">
        <v>탱크보이</v>
      </c>
      <c r="C20">
        <v>-164</v>
      </c>
      <c r="D20">
        <v>1</v>
      </c>
      <c r="E20">
        <v>19600</v>
      </c>
      <c r="F20">
        <v>19600</v>
      </c>
      <c r="G20">
        <v>35</v>
      </c>
      <c r="H20">
        <v>560</v>
      </c>
      <c r="I20">
        <v>1500</v>
      </c>
      <c r="J20">
        <v>0.627</v>
      </c>
      <c r="K20" t="str">
        <v>⚠️ 튜브류 바닥권 잔여 (구색 보충)</v>
      </c>
      <c r="L20">
        <v>8</v>
      </c>
      <c r="M20" t="str">
        <v>-</v>
      </c>
      <c r="N20" t="str">
        <v>-</v>
      </c>
      <c r="O20">
        <v>0</v>
      </c>
      <c r="P20" t="str">
        <v>-</v>
      </c>
      <c r="Q20" t="str">
        <v>-</v>
      </c>
      <c r="R20">
        <v>1</v>
      </c>
      <c r="S20" t="str">
        <v>-</v>
      </c>
      <c r="T20">
        <v>2</v>
      </c>
      <c r="U20">
        <v>20</v>
      </c>
    </row>
    <row r="21">
      <c r="A21">
        <v>6</v>
      </c>
      <c r="B21" t="str">
        <v>해태] 찐 팥빙수</v>
      </c>
      <c r="C21">
        <v>-20</v>
      </c>
      <c r="D21">
        <v>1</v>
      </c>
      <c r="E21">
        <v>22400</v>
      </c>
      <c r="F21">
        <v>22400</v>
      </c>
      <c r="G21">
        <v>16</v>
      </c>
      <c r="H21">
        <v>1400</v>
      </c>
      <c r="I21">
        <v>3000</v>
      </c>
      <c r="J21">
        <v>0.533</v>
      </c>
      <c r="K21" t="str">
        <v>🚨 냉장고 바닥에 딱 2개 잔여</v>
      </c>
      <c r="L21">
        <v>8</v>
      </c>
      <c r="M21">
        <v>1</v>
      </c>
      <c r="N21">
        <v>16</v>
      </c>
      <c r="O21">
        <v>8</v>
      </c>
      <c r="P21">
        <v>1</v>
      </c>
      <c r="Q21">
        <v>1</v>
      </c>
      <c r="R21" t="str">
        <v>-</v>
      </c>
      <c r="S21" t="str">
        <v>-</v>
      </c>
      <c r="T21">
        <v>4</v>
      </c>
      <c r="U21">
        <v>48</v>
      </c>
    </row>
    <row r="22">
      <c r="A22">
        <v>7</v>
      </c>
      <c r="B22" t="str">
        <v>더블비얀코</v>
      </c>
      <c r="C22">
        <v>-216</v>
      </c>
      <c r="D22">
        <v>1</v>
      </c>
      <c r="E22">
        <v>14700</v>
      </c>
      <c r="F22">
        <v>14700</v>
      </c>
      <c r="G22">
        <v>15</v>
      </c>
      <c r="H22">
        <v>980</v>
      </c>
      <c r="I22">
        <v>1500</v>
      </c>
      <c r="J22">
        <v>0.347</v>
      </c>
      <c r="K22" t="str">
        <v>🚨 소프트컵 전멸 (단골/구색 보충)</v>
      </c>
      <c r="L22">
        <v>5</v>
      </c>
      <c r="M22" t="str">
        <v>-</v>
      </c>
      <c r="N22" t="str">
        <v>-</v>
      </c>
      <c r="O22">
        <v>0</v>
      </c>
      <c r="P22" t="str">
        <v>-</v>
      </c>
      <c r="Q22" t="str">
        <v>-</v>
      </c>
      <c r="R22" t="str">
        <v>-</v>
      </c>
      <c r="S22">
        <v>1</v>
      </c>
      <c r="T22">
        <v>2</v>
      </c>
      <c r="U22">
        <v>6</v>
      </c>
    </row>
    <row r="23">
      <c r="A23">
        <v>8</v>
      </c>
      <c r="B23" t="str">
        <v>투게더그라시아 미니(쿠앤크)</v>
      </c>
      <c r="C23">
        <v>-128</v>
      </c>
      <c r="D23">
        <v>1</v>
      </c>
      <c r="E23">
        <v>15680</v>
      </c>
      <c r="F23">
        <v>15680</v>
      </c>
      <c r="G23">
        <v>8</v>
      </c>
      <c r="H23">
        <v>1960</v>
      </c>
      <c r="I23">
        <v>2800</v>
      </c>
      <c r="J23">
        <v>0.3</v>
      </c>
      <c r="K23" t="str">
        <v>🚨 쿠앤크맛 완판/바닥 (와 대신 교체)</v>
      </c>
      <c r="L23">
        <v>5</v>
      </c>
      <c r="M23" t="str">
        <v>-</v>
      </c>
      <c r="N23" t="str">
        <v>-</v>
      </c>
      <c r="O23">
        <v>0</v>
      </c>
      <c r="P23">
        <v>1</v>
      </c>
      <c r="Q23">
        <v>2</v>
      </c>
      <c r="R23">
        <v>2</v>
      </c>
      <c r="S23">
        <v>1</v>
      </c>
      <c r="T23">
        <v>7</v>
      </c>
      <c r="U23">
        <v>2</v>
      </c>
    </row>
    <row r="24">
      <c r="A24">
        <v>9</v>
      </c>
      <c r="B24" t="str">
        <v>구구콘</v>
      </c>
      <c r="C24">
        <v>-116</v>
      </c>
      <c r="D24">
        <v>1</v>
      </c>
      <c r="E24">
        <v>20160</v>
      </c>
      <c r="F24">
        <v>20160</v>
      </c>
      <c r="G24">
        <v>24</v>
      </c>
      <c r="H24">
        <v>840</v>
      </c>
      <c r="I24">
        <v>1800</v>
      </c>
      <c r="J24">
        <v>0.533</v>
      </c>
      <c r="K24" t="str">
        <v>🚨 초코콘 전멸 (인기 콘 보충)</v>
      </c>
      <c r="L24">
        <v>4</v>
      </c>
      <c r="M24" t="str">
        <v>-</v>
      </c>
      <c r="N24" t="str">
        <v>-</v>
      </c>
      <c r="O24">
        <v>0</v>
      </c>
      <c r="P24">
        <v>1</v>
      </c>
      <c r="Q24">
        <v>1</v>
      </c>
      <c r="R24" t="str">
        <v>-</v>
      </c>
      <c r="S24">
        <v>1</v>
      </c>
      <c r="T24">
        <v>4</v>
      </c>
      <c r="U24">
        <v>46</v>
      </c>
    </row>
    <row r="25">
      <c r="A25">
        <v>10</v>
      </c>
      <c r="B25" t="str">
        <v>와</v>
      </c>
      <c r="C25">
        <v>-228</v>
      </c>
      <c r="D25" t="str">
        <v>-</v>
      </c>
      <c r="E25" t="str">
        <v>-</v>
      </c>
      <c r="F25">
        <v>13440</v>
      </c>
      <c r="G25">
        <v>16</v>
      </c>
      <c r="H25">
        <v>840</v>
      </c>
      <c r="I25">
        <v>1800</v>
      </c>
      <c r="J25">
        <v>0.533</v>
      </c>
      <c r="K25" t="str">
        <v>🟡 잔여재고 있음 (투게더로 교체)</v>
      </c>
      <c r="L25">
        <v>17</v>
      </c>
      <c r="M25" t="str">
        <v>-</v>
      </c>
      <c r="N25" t="str">
        <v>-</v>
      </c>
      <c r="O25">
        <v>0</v>
      </c>
      <c r="P25">
        <v>1</v>
      </c>
      <c r="Q25">
        <v>1</v>
      </c>
      <c r="R25">
        <v>2</v>
      </c>
      <c r="S25">
        <v>1</v>
      </c>
      <c r="T25">
        <v>5</v>
      </c>
      <c r="U25">
        <v>7</v>
      </c>
    </row>
    <row r="26">
      <c r="A26">
        <v>11</v>
      </c>
      <c r="B26" t="str">
        <v>부라보콘바닐라</v>
      </c>
      <c r="C26">
        <v>-123</v>
      </c>
      <c r="D26" t="str">
        <v>-</v>
      </c>
      <c r="E26" t="str">
        <v>-</v>
      </c>
      <c r="F26">
        <v>16800</v>
      </c>
      <c r="G26">
        <v>24</v>
      </c>
      <c r="H26">
        <v>700</v>
      </c>
      <c r="I26">
        <v>1500</v>
      </c>
      <c r="J26">
        <v>0.533</v>
      </c>
      <c r="K26" t="str">
        <v>🟢 재고 과다 (15~20개 이상 남아 발주제외)</v>
      </c>
      <c r="L26">
        <v>16</v>
      </c>
      <c r="M26">
        <v>1</v>
      </c>
      <c r="N26">
        <v>24</v>
      </c>
      <c r="O26">
        <v>8</v>
      </c>
      <c r="P26">
        <v>1</v>
      </c>
      <c r="Q26">
        <v>1</v>
      </c>
      <c r="R26" t="str">
        <v>-</v>
      </c>
      <c r="S26">
        <v>1</v>
      </c>
      <c r="T26">
        <v>4</v>
      </c>
      <c r="U26">
        <v>9</v>
      </c>
    </row>
    <row r="27">
      <c r="A27">
        <v>12</v>
      </c>
      <c r="B27" t="str">
        <v>수박바</v>
      </c>
      <c r="C27">
        <v>-18</v>
      </c>
      <c r="D27" t="str">
        <v>-</v>
      </c>
      <c r="E27" t="str">
        <v>-</v>
      </c>
      <c r="F27">
        <v>17280</v>
      </c>
      <c r="G27">
        <v>40</v>
      </c>
      <c r="H27">
        <v>432</v>
      </c>
      <c r="I27">
        <v>1300</v>
      </c>
      <c r="J27">
        <v>0.668</v>
      </c>
      <c r="K27" t="str">
        <v>🟢 여유 (사장님 요청으로 발주 제외)</v>
      </c>
      <c r="L27">
        <v>16</v>
      </c>
      <c r="M27">
        <v>1</v>
      </c>
      <c r="N27">
        <v>40</v>
      </c>
      <c r="O27">
        <v>24</v>
      </c>
      <c r="P27" t="str">
        <v>-</v>
      </c>
      <c r="Q27" t="str">
        <v>-</v>
      </c>
      <c r="R27" t="str">
        <v>-</v>
      </c>
      <c r="S27" t="str">
        <v>-</v>
      </c>
      <c r="T27">
        <v>1</v>
      </c>
      <c r="U27">
        <v>31</v>
      </c>
    </row>
    <row r="28">
      <c r="A28">
        <v>13</v>
      </c>
      <c r="B28" t="str">
        <v>떡붕어싸만코</v>
      </c>
      <c r="C28">
        <v>-249</v>
      </c>
      <c r="D28" t="str">
        <v>-</v>
      </c>
      <c r="E28" t="str">
        <v>-</v>
      </c>
      <c r="F28">
        <v>29400</v>
      </c>
      <c r="G28">
        <v>30</v>
      </c>
      <c r="H28">
        <v>980</v>
      </c>
      <c r="I28">
        <v>1800</v>
      </c>
      <c r="J28">
        <v>0.456</v>
      </c>
      <c r="K28" t="str">
        <v>🟢 재고 여유 (상단에 넉넉함)</v>
      </c>
      <c r="L28">
        <v>9</v>
      </c>
      <c r="M28" t="str">
        <v>-</v>
      </c>
      <c r="N28" t="str">
        <v>-</v>
      </c>
      <c r="O28">
        <v>0</v>
      </c>
      <c r="P28">
        <v>1</v>
      </c>
      <c r="Q28">
        <v>1</v>
      </c>
      <c r="R28">
        <v>1</v>
      </c>
      <c r="S28">
        <v>1</v>
      </c>
      <c r="T28">
        <v>4</v>
      </c>
      <c r="U28">
        <v>17</v>
      </c>
    </row>
    <row r="29">
      <c r="A29">
        <v>14</v>
      </c>
      <c r="B29" t="str">
        <v>초코퍼지</v>
      </c>
      <c r="C29">
        <v>-8</v>
      </c>
      <c r="D29" t="str">
        <v>-</v>
      </c>
      <c r="E29" t="str">
        <v>-</v>
      </c>
      <c r="F29">
        <v>17280</v>
      </c>
      <c r="G29">
        <v>40</v>
      </c>
      <c r="H29">
        <v>432</v>
      </c>
      <c r="I29">
        <v>1300</v>
      </c>
      <c r="J29">
        <v>0.668</v>
      </c>
      <c r="K29" t="str">
        <v>🟢 잔여 여유 (31개)</v>
      </c>
      <c r="L29">
        <v>9</v>
      </c>
      <c r="M29">
        <v>1</v>
      </c>
      <c r="N29">
        <v>40</v>
      </c>
      <c r="O29">
        <v>31</v>
      </c>
      <c r="P29" t="str">
        <v>-</v>
      </c>
      <c r="Q29" t="str">
        <v>-</v>
      </c>
      <c r="R29" t="str">
        <v>-</v>
      </c>
      <c r="S29" t="str">
        <v>-</v>
      </c>
      <c r="T29">
        <v>1</v>
      </c>
      <c r="U29">
        <v>33</v>
      </c>
    </row>
    <row r="30">
      <c r="A30">
        <v>15</v>
      </c>
      <c r="B30" t="str">
        <v>바밤바</v>
      </c>
      <c r="C30">
        <v>-67</v>
      </c>
      <c r="D30" t="str">
        <v>-</v>
      </c>
      <c r="E30" t="str">
        <v>-</v>
      </c>
      <c r="F30">
        <v>17280</v>
      </c>
      <c r="G30">
        <v>40</v>
      </c>
      <c r="H30">
        <v>432</v>
      </c>
      <c r="I30">
        <v>1300</v>
      </c>
      <c r="J30">
        <v>0.668</v>
      </c>
      <c r="K30" t="str">
        <v>🟢 잔여 여유 (32개)</v>
      </c>
      <c r="L30">
        <v>8</v>
      </c>
      <c r="M30">
        <v>1</v>
      </c>
      <c r="N30">
        <v>40</v>
      </c>
      <c r="O30">
        <v>32</v>
      </c>
      <c r="P30" t="str">
        <v>-</v>
      </c>
      <c r="Q30" t="str">
        <v>-</v>
      </c>
      <c r="R30" t="str">
        <v>-</v>
      </c>
      <c r="S30" t="str">
        <v>-</v>
      </c>
      <c r="T30">
        <v>1</v>
      </c>
      <c r="U30">
        <v>53</v>
      </c>
    </row>
    <row r="31">
      <c r="A31">
        <v>16</v>
      </c>
      <c r="B31" t="str">
        <v>생귤탱귤</v>
      </c>
      <c r="C31">
        <v>-29</v>
      </c>
      <c r="D31" t="str">
        <v>-</v>
      </c>
      <c r="E31" t="str">
        <v>-</v>
      </c>
      <c r="F31">
        <v>17280</v>
      </c>
      <c r="G31">
        <v>40</v>
      </c>
      <c r="H31">
        <v>432</v>
      </c>
      <c r="I31">
        <v>1300</v>
      </c>
      <c r="J31">
        <v>0.668</v>
      </c>
      <c r="K31" t="str">
        <v>기존재고 소진 중</v>
      </c>
      <c r="L31">
        <v>8</v>
      </c>
      <c r="M31" t="str">
        <v>-</v>
      </c>
      <c r="N31" t="str">
        <v>-</v>
      </c>
      <c r="O31">
        <v>0</v>
      </c>
      <c r="P31" t="str">
        <v>-</v>
      </c>
      <c r="Q31" t="str">
        <v>-</v>
      </c>
      <c r="R31" t="str">
        <v>-</v>
      </c>
      <c r="S31" t="str">
        <v>-</v>
      </c>
      <c r="T31">
        <v>0</v>
      </c>
      <c r="U31">
        <v>52</v>
      </c>
    </row>
    <row r="32">
      <c r="A32">
        <v>17</v>
      </c>
      <c r="B32" t="str">
        <v>빵또아</v>
      </c>
      <c r="C32">
        <v>-132</v>
      </c>
      <c r="D32" t="str">
        <v>-</v>
      </c>
      <c r="E32" t="str">
        <v>-</v>
      </c>
      <c r="F32">
        <v>23520</v>
      </c>
      <c r="G32">
        <v>24</v>
      </c>
      <c r="H32">
        <v>980</v>
      </c>
      <c r="I32">
        <v>1800</v>
      </c>
      <c r="J32">
        <v>0.456</v>
      </c>
      <c r="K32" t="str">
        <v>🟢 재고 여유 (상단에 넉넉함)</v>
      </c>
      <c r="L32">
        <v>7</v>
      </c>
      <c r="M32" t="str">
        <v>-</v>
      </c>
      <c r="N32" t="str">
        <v>-</v>
      </c>
      <c r="O32">
        <v>0</v>
      </c>
      <c r="P32">
        <v>1</v>
      </c>
      <c r="Q32">
        <v>1</v>
      </c>
      <c r="R32" t="str">
        <v>-</v>
      </c>
      <c r="S32">
        <v>1</v>
      </c>
      <c r="T32">
        <v>3</v>
      </c>
      <c r="U32">
        <v>18</v>
      </c>
    </row>
    <row r="33">
      <c r="A33">
        <v>18</v>
      </c>
      <c r="B33" t="str">
        <v>빵또아쿠앤크</v>
      </c>
      <c r="C33">
        <v>-132</v>
      </c>
      <c r="D33" t="str">
        <v>-</v>
      </c>
      <c r="E33" t="str">
        <v>-</v>
      </c>
      <c r="F33">
        <v>20160</v>
      </c>
      <c r="G33">
        <v>24</v>
      </c>
      <c r="H33">
        <v>840</v>
      </c>
      <c r="I33">
        <v>1800</v>
      </c>
      <c r="J33">
        <v>0.533</v>
      </c>
      <c r="K33" t="str">
        <v>기존재고 소진 중</v>
      </c>
      <c r="L33">
        <v>7</v>
      </c>
      <c r="M33" t="str">
        <v>-</v>
      </c>
      <c r="N33" t="str">
        <v>-</v>
      </c>
      <c r="O33">
        <v>0</v>
      </c>
      <c r="P33" t="str">
        <v>-</v>
      </c>
      <c r="Q33" t="str">
        <v>-</v>
      </c>
      <c r="R33" t="str">
        <v>-</v>
      </c>
      <c r="S33" t="str">
        <v>-</v>
      </c>
      <c r="T33">
        <v>0</v>
      </c>
      <c r="U33">
        <v>45</v>
      </c>
    </row>
    <row r="34">
      <c r="A34">
        <v>19</v>
      </c>
      <c r="B34" t="str">
        <v>스크류바</v>
      </c>
      <c r="C34">
        <v>-110</v>
      </c>
      <c r="D34" t="str">
        <v>-</v>
      </c>
      <c r="E34" t="str">
        <v>-</v>
      </c>
      <c r="F34">
        <v>16800</v>
      </c>
      <c r="G34">
        <v>40</v>
      </c>
      <c r="H34">
        <v>420</v>
      </c>
      <c r="I34">
        <v>1300</v>
      </c>
      <c r="J34">
        <v>0.677</v>
      </c>
      <c r="K34" t="str">
        <v>기존재고 소진 중</v>
      </c>
      <c r="L34">
        <v>7</v>
      </c>
      <c r="M34" t="str">
        <v>-</v>
      </c>
      <c r="N34" t="str">
        <v>-</v>
      </c>
      <c r="O34">
        <v>0</v>
      </c>
      <c r="P34" t="str">
        <v>-</v>
      </c>
      <c r="Q34" t="str">
        <v>-</v>
      </c>
      <c r="R34" t="str">
        <v>-</v>
      </c>
      <c r="S34">
        <v>1</v>
      </c>
      <c r="T34">
        <v>1</v>
      </c>
      <c r="U34">
        <v>14</v>
      </c>
    </row>
    <row r="35">
      <c r="A35">
        <v>20</v>
      </c>
      <c r="B35" t="str">
        <v>호두마루 바</v>
      </c>
      <c r="C35">
        <v>-41</v>
      </c>
      <c r="D35" t="str">
        <v>-</v>
      </c>
      <c r="E35" t="str">
        <v>-</v>
      </c>
      <c r="F35">
        <v>17280</v>
      </c>
      <c r="G35">
        <v>40</v>
      </c>
      <c r="H35">
        <v>432</v>
      </c>
      <c r="I35">
        <v>1300</v>
      </c>
      <c r="J35">
        <v>0.668</v>
      </c>
      <c r="K35" t="str">
        <v>🟢 잔여 여유 (33개)</v>
      </c>
      <c r="L35">
        <v>7</v>
      </c>
      <c r="M35">
        <v>1</v>
      </c>
      <c r="N35">
        <v>40</v>
      </c>
      <c r="O35">
        <v>33</v>
      </c>
      <c r="P35">
        <v>1</v>
      </c>
      <c r="Q35">
        <v>1</v>
      </c>
      <c r="R35" t="str">
        <v>-</v>
      </c>
      <c r="S35" t="str">
        <v>-</v>
      </c>
      <c r="T35">
        <v>3</v>
      </c>
      <c r="U35">
        <v>50</v>
      </c>
    </row>
    <row r="36">
      <c r="A36">
        <v>21</v>
      </c>
      <c r="B36" t="str">
        <v>투게더 미니</v>
      </c>
      <c r="C36">
        <v>-215</v>
      </c>
      <c r="D36" t="str">
        <v>-</v>
      </c>
      <c r="E36" t="str">
        <v>-</v>
      </c>
      <c r="F36">
        <v>15680</v>
      </c>
      <c r="G36">
        <v>8</v>
      </c>
      <c r="H36">
        <v>1960</v>
      </c>
      <c r="I36">
        <v>2800</v>
      </c>
      <c r="J36">
        <v>0.3</v>
      </c>
      <c r="K36" t="str">
        <v>기존재고 소진 중</v>
      </c>
      <c r="L36">
        <v>6</v>
      </c>
      <c r="M36" t="str">
        <v>-</v>
      </c>
      <c r="N36" t="str">
        <v>-</v>
      </c>
      <c r="O36">
        <v>0</v>
      </c>
      <c r="P36">
        <v>2</v>
      </c>
      <c r="Q36">
        <v>2</v>
      </c>
      <c r="R36">
        <v>2</v>
      </c>
      <c r="S36">
        <v>1</v>
      </c>
      <c r="T36">
        <v>7</v>
      </c>
      <c r="U36">
        <v>1</v>
      </c>
    </row>
    <row r="37">
      <c r="A37">
        <v>22</v>
      </c>
      <c r="B37" t="str">
        <v>죠스바</v>
      </c>
      <c r="C37">
        <v>-117</v>
      </c>
      <c r="D37" t="str">
        <v>-</v>
      </c>
      <c r="E37" t="str">
        <v>-</v>
      </c>
      <c r="F37">
        <v>16800</v>
      </c>
      <c r="G37">
        <v>40</v>
      </c>
      <c r="H37">
        <v>420</v>
      </c>
      <c r="I37">
        <v>1300</v>
      </c>
      <c r="J37">
        <v>0.677</v>
      </c>
      <c r="K37" t="str">
        <v>기존재고 소진 중</v>
      </c>
      <c r="L37">
        <v>4</v>
      </c>
      <c r="M37" t="str">
        <v>-</v>
      </c>
      <c r="N37" t="str">
        <v>-</v>
      </c>
      <c r="O37">
        <v>0</v>
      </c>
      <c r="P37" t="str">
        <v>-</v>
      </c>
      <c r="Q37" t="str">
        <v>-</v>
      </c>
      <c r="R37">
        <v>1</v>
      </c>
      <c r="S37" t="str">
        <v>-</v>
      </c>
      <c r="T37">
        <v>1</v>
      </c>
      <c r="U37">
        <v>29</v>
      </c>
    </row>
    <row r="38">
      <c r="A38">
        <v>23</v>
      </c>
      <c r="B38" t="str">
        <v>슈퍼콘초코</v>
      </c>
      <c r="C38">
        <v>-92</v>
      </c>
      <c r="D38" t="str">
        <v>-</v>
      </c>
      <c r="E38" t="str">
        <v>-</v>
      </c>
      <c r="F38">
        <v>14700</v>
      </c>
      <c r="G38">
        <v>24</v>
      </c>
      <c r="H38">
        <v>612.5</v>
      </c>
      <c r="I38">
        <v>1600</v>
      </c>
      <c r="J38">
        <v>0.617</v>
      </c>
      <c r="K38" t="str">
        <v>기존재고 소진 중</v>
      </c>
      <c r="L38">
        <v>4</v>
      </c>
      <c r="M38" t="str">
        <v>-</v>
      </c>
      <c r="N38" t="str">
        <v>-</v>
      </c>
      <c r="O38">
        <v>0</v>
      </c>
      <c r="P38">
        <v>1</v>
      </c>
      <c r="Q38">
        <v>1</v>
      </c>
      <c r="R38">
        <v>1</v>
      </c>
      <c r="S38">
        <v>1</v>
      </c>
      <c r="T38">
        <v>4</v>
      </c>
      <c r="U38">
        <v>10</v>
      </c>
    </row>
    <row r="39">
      <c r="A39">
        <v>24</v>
      </c>
      <c r="B39" t="str">
        <v>주물럭콜라</v>
      </c>
      <c r="C39">
        <v>-52</v>
      </c>
      <c r="D39" t="str">
        <v>-</v>
      </c>
      <c r="E39" t="str">
        <v>-</v>
      </c>
      <c r="F39">
        <v>12960</v>
      </c>
      <c r="G39">
        <v>30</v>
      </c>
      <c r="H39">
        <v>432</v>
      </c>
      <c r="I39">
        <v>1300</v>
      </c>
      <c r="J39">
        <v>0.668</v>
      </c>
      <c r="K39" t="str">
        <v>기존재고 소진 중</v>
      </c>
      <c r="L39">
        <v>4</v>
      </c>
      <c r="M39" t="str">
        <v>-</v>
      </c>
      <c r="N39" t="str">
        <v>-</v>
      </c>
      <c r="O39">
        <v>0</v>
      </c>
      <c r="P39" t="str">
        <v>-</v>
      </c>
      <c r="Q39" t="str">
        <v>-</v>
      </c>
      <c r="R39" t="str">
        <v>-</v>
      </c>
      <c r="S39" t="str">
        <v>-</v>
      </c>
      <c r="T39">
        <v>0</v>
      </c>
      <c r="U39">
        <v>21</v>
      </c>
    </row>
    <row r="40">
      <c r="A40">
        <v>25</v>
      </c>
      <c r="B40" t="str">
        <v>와일드바디</v>
      </c>
      <c r="C40">
        <v>-35</v>
      </c>
      <c r="D40" t="str">
        <v>-</v>
      </c>
      <c r="E40" t="str">
        <v>-</v>
      </c>
      <c r="F40">
        <v>16800</v>
      </c>
      <c r="G40">
        <v>40</v>
      </c>
      <c r="H40">
        <v>420</v>
      </c>
      <c r="I40">
        <v>1300</v>
      </c>
      <c r="J40">
        <v>0.677</v>
      </c>
      <c r="K40" t="str">
        <v>🟢 잔여 여유 (36개)</v>
      </c>
      <c r="L40">
        <v>4</v>
      </c>
      <c r="M40">
        <v>1</v>
      </c>
      <c r="N40">
        <v>40</v>
      </c>
      <c r="O40">
        <v>36</v>
      </c>
      <c r="P40" t="str">
        <v>-</v>
      </c>
      <c r="Q40" t="str">
        <v>-</v>
      </c>
      <c r="R40" t="str">
        <v>-</v>
      </c>
      <c r="S40" t="str">
        <v>-</v>
      </c>
      <c r="T40">
        <v>1</v>
      </c>
      <c r="U40">
        <v>30</v>
      </c>
    </row>
    <row r="41">
      <c r="A41">
        <v>26</v>
      </c>
      <c r="B41" t="str">
        <v>팝콘 붕어 사만코</v>
      </c>
      <c r="C41">
        <v>-19</v>
      </c>
      <c r="D41" t="str">
        <v>-</v>
      </c>
      <c r="E41" t="str">
        <v>-</v>
      </c>
      <c r="F41">
        <v>20160</v>
      </c>
      <c r="G41">
        <v>24</v>
      </c>
      <c r="H41">
        <v>840</v>
      </c>
      <c r="I41">
        <v>1900</v>
      </c>
      <c r="J41">
        <v>0.558</v>
      </c>
      <c r="K41" t="str">
        <v>기존재고 소진 중</v>
      </c>
      <c r="L41">
        <v>4</v>
      </c>
      <c r="M41" t="str">
        <v>-</v>
      </c>
      <c r="N41" t="str">
        <v>-</v>
      </c>
      <c r="O41">
        <v>0</v>
      </c>
      <c r="P41">
        <v>1</v>
      </c>
      <c r="Q41">
        <v>1</v>
      </c>
      <c r="R41" t="str">
        <v>-</v>
      </c>
      <c r="S41" t="str">
        <v>-</v>
      </c>
      <c r="T41">
        <v>2</v>
      </c>
      <c r="U41">
        <v>49</v>
      </c>
    </row>
    <row r="42">
      <c r="A42">
        <v>27</v>
      </c>
      <c r="B42" t="str">
        <v>거북이바</v>
      </c>
      <c r="C42">
        <v>-115</v>
      </c>
      <c r="D42" t="str">
        <v>-</v>
      </c>
      <c r="E42" t="str">
        <v>-</v>
      </c>
      <c r="F42">
        <v>28000</v>
      </c>
      <c r="G42">
        <v>40</v>
      </c>
      <c r="H42">
        <v>700</v>
      </c>
      <c r="I42">
        <v>1500</v>
      </c>
      <c r="J42">
        <v>0.533</v>
      </c>
      <c r="K42" t="str">
        <v>🟢 잔여 여유 (37개)</v>
      </c>
      <c r="L42">
        <v>3</v>
      </c>
      <c r="M42">
        <v>1</v>
      </c>
      <c r="N42">
        <v>40</v>
      </c>
      <c r="O42">
        <v>37</v>
      </c>
      <c r="P42">
        <v>1</v>
      </c>
      <c r="Q42">
        <v>1</v>
      </c>
      <c r="R42" t="str">
        <v>-</v>
      </c>
      <c r="S42" t="str">
        <v>-</v>
      </c>
      <c r="T42">
        <v>3</v>
      </c>
      <c r="U42">
        <v>36</v>
      </c>
    </row>
    <row r="43">
      <c r="A43">
        <v>28</v>
      </c>
      <c r="B43" t="str">
        <v>누가바</v>
      </c>
      <c r="C43">
        <v>-127</v>
      </c>
      <c r="D43" t="str">
        <v>-</v>
      </c>
      <c r="E43" t="str">
        <v>-</v>
      </c>
      <c r="F43">
        <v>17280</v>
      </c>
      <c r="G43">
        <v>40</v>
      </c>
      <c r="H43">
        <v>432</v>
      </c>
      <c r="I43">
        <v>1300</v>
      </c>
      <c r="J43">
        <v>0.668</v>
      </c>
      <c r="K43" t="str">
        <v>기존재고 소진 중</v>
      </c>
      <c r="L43">
        <v>2</v>
      </c>
      <c r="M43" t="str">
        <v>-</v>
      </c>
      <c r="N43" t="str">
        <v>-</v>
      </c>
      <c r="O43">
        <v>0</v>
      </c>
      <c r="P43" t="str">
        <v>-</v>
      </c>
      <c r="Q43" t="str">
        <v>-</v>
      </c>
      <c r="R43" t="str">
        <v>-</v>
      </c>
      <c r="S43" t="str">
        <v>-</v>
      </c>
      <c r="T43">
        <v>0</v>
      </c>
      <c r="U43">
        <v>24</v>
      </c>
    </row>
    <row r="44">
      <c r="A44">
        <v>29</v>
      </c>
      <c r="B44" t="str">
        <v>옥동자</v>
      </c>
      <c r="C44">
        <v>-121</v>
      </c>
      <c r="D44" t="str">
        <v>-</v>
      </c>
      <c r="E44" t="str">
        <v>-</v>
      </c>
      <c r="F44">
        <v>16800</v>
      </c>
      <c r="G44">
        <v>40</v>
      </c>
      <c r="H44">
        <v>420</v>
      </c>
      <c r="I44">
        <v>1300</v>
      </c>
      <c r="J44">
        <v>0.677</v>
      </c>
      <c r="K44" t="str">
        <v>기존재고 소진 중</v>
      </c>
      <c r="L44">
        <v>2</v>
      </c>
      <c r="M44" t="str">
        <v>-</v>
      </c>
      <c r="N44" t="str">
        <v>-</v>
      </c>
      <c r="O44">
        <v>0</v>
      </c>
      <c r="P44" t="str">
        <v>-</v>
      </c>
      <c r="Q44" t="str">
        <v>-</v>
      </c>
      <c r="R44" t="str">
        <v>-</v>
      </c>
      <c r="S44" t="str">
        <v>-</v>
      </c>
      <c r="T44">
        <v>0</v>
      </c>
      <c r="U44">
        <v>15</v>
      </c>
    </row>
    <row r="45">
      <c r="A45">
        <v>30</v>
      </c>
      <c r="B45" t="str">
        <v>구구크러스터</v>
      </c>
      <c r="C45">
        <v>-32</v>
      </c>
      <c r="D45" t="str">
        <v>-</v>
      </c>
      <c r="E45" t="str">
        <v>-</v>
      </c>
      <c r="F45">
        <v>23100</v>
      </c>
      <c r="G45">
        <v>6</v>
      </c>
      <c r="H45">
        <v>3850</v>
      </c>
      <c r="I45">
        <v>8000</v>
      </c>
      <c r="J45">
        <v>0.519</v>
      </c>
      <c r="K45" t="str">
        <v>기존재고 소진 중</v>
      </c>
      <c r="L45">
        <v>2</v>
      </c>
      <c r="M45" t="str">
        <v>-</v>
      </c>
      <c r="N45" t="str">
        <v>-</v>
      </c>
      <c r="O45">
        <v>0</v>
      </c>
      <c r="P45">
        <v>1</v>
      </c>
      <c r="Q45">
        <v>1</v>
      </c>
      <c r="R45" t="str">
        <v>-</v>
      </c>
      <c r="S45" t="str">
        <v>-</v>
      </c>
      <c r="T45">
        <v>2</v>
      </c>
      <c r="U45">
        <v>25</v>
      </c>
    </row>
    <row r="46">
      <c r="A46">
        <v>31</v>
      </c>
      <c r="B46" t="str">
        <v>더위사냥</v>
      </c>
      <c r="C46">
        <v>-30</v>
      </c>
      <c r="D46" t="str">
        <v>-</v>
      </c>
      <c r="E46" t="str">
        <v>-</v>
      </c>
      <c r="F46">
        <v>21000</v>
      </c>
      <c r="G46">
        <v>30</v>
      </c>
      <c r="H46">
        <v>700</v>
      </c>
      <c r="I46">
        <v>1500</v>
      </c>
      <c r="J46">
        <v>0.533</v>
      </c>
      <c r="K46" t="str">
        <v>기존재고 소진 중</v>
      </c>
      <c r="L46">
        <v>2</v>
      </c>
      <c r="M46" t="str">
        <v>-</v>
      </c>
      <c r="N46" t="str">
        <v>-</v>
      </c>
      <c r="O46">
        <v>0</v>
      </c>
      <c r="P46" t="str">
        <v>-</v>
      </c>
      <c r="Q46" t="str">
        <v>-</v>
      </c>
      <c r="R46" t="str">
        <v>-</v>
      </c>
      <c r="S46" t="str">
        <v>-</v>
      </c>
      <c r="T46">
        <v>0</v>
      </c>
      <c r="U46">
        <v>35</v>
      </c>
    </row>
    <row r="47">
      <c r="A47">
        <v>32</v>
      </c>
      <c r="B47" t="str">
        <v>아맛나</v>
      </c>
      <c r="C47">
        <v>-4</v>
      </c>
      <c r="D47" t="str">
        <v>-</v>
      </c>
      <c r="E47" t="str">
        <v>-</v>
      </c>
      <c r="F47">
        <v>17280</v>
      </c>
      <c r="G47">
        <v>40</v>
      </c>
      <c r="H47">
        <v>432</v>
      </c>
      <c r="I47">
        <v>1300</v>
      </c>
      <c r="J47">
        <v>0.668</v>
      </c>
      <c r="K47" t="str">
        <v>기존재고 소진 중</v>
      </c>
      <c r="L47">
        <v>2</v>
      </c>
      <c r="M47" t="str">
        <v>-</v>
      </c>
      <c r="N47" t="str">
        <v>-</v>
      </c>
      <c r="O47">
        <v>0</v>
      </c>
      <c r="P47">
        <v>1</v>
      </c>
      <c r="Q47">
        <v>1</v>
      </c>
      <c r="R47" t="str">
        <v>-</v>
      </c>
      <c r="S47" t="str">
        <v>-</v>
      </c>
      <c r="T47">
        <v>2</v>
      </c>
      <c r="U47">
        <v>27</v>
      </c>
    </row>
    <row r="48">
      <c r="A48">
        <v>33</v>
      </c>
      <c r="B48" t="str">
        <v>빠삐코 초코</v>
      </c>
      <c r="C48">
        <v>-162</v>
      </c>
      <c r="D48" t="str">
        <v>-</v>
      </c>
      <c r="E48" t="str">
        <v>-</v>
      </c>
      <c r="F48">
        <v>19600</v>
      </c>
      <c r="G48">
        <v>35</v>
      </c>
      <c r="H48">
        <v>560</v>
      </c>
      <c r="I48">
        <v>1300</v>
      </c>
      <c r="J48">
        <v>0.569</v>
      </c>
      <c r="K48" t="str">
        <v>기존재고 소진 중</v>
      </c>
      <c r="L48">
        <v>1</v>
      </c>
      <c r="M48" t="str">
        <v>-</v>
      </c>
      <c r="N48" t="str">
        <v>-</v>
      </c>
      <c r="O48">
        <v>0</v>
      </c>
      <c r="P48" t="str">
        <v>-</v>
      </c>
      <c r="Q48" t="str">
        <v>-</v>
      </c>
      <c r="R48" t="str">
        <v>-</v>
      </c>
      <c r="S48">
        <v>1</v>
      </c>
      <c r="T48">
        <v>1</v>
      </c>
      <c r="U48">
        <v>22</v>
      </c>
    </row>
    <row r="49">
      <c r="A49">
        <v>34</v>
      </c>
      <c r="B49" t="str">
        <v>구구바</v>
      </c>
      <c r="C49">
        <v>-27</v>
      </c>
      <c r="D49" t="str">
        <v>-</v>
      </c>
      <c r="E49" t="str">
        <v>-</v>
      </c>
      <c r="F49">
        <v>28000</v>
      </c>
      <c r="G49">
        <v>40</v>
      </c>
      <c r="H49">
        <v>700</v>
      </c>
      <c r="I49">
        <v>1500</v>
      </c>
      <c r="J49">
        <v>0.533</v>
      </c>
      <c r="K49" t="str">
        <v>기존재고 소진 중</v>
      </c>
      <c r="L49">
        <v>1</v>
      </c>
      <c r="M49" t="str">
        <v>-</v>
      </c>
      <c r="N49" t="str">
        <v>-</v>
      </c>
      <c r="O49">
        <v>0</v>
      </c>
      <c r="P49" t="str">
        <v>-</v>
      </c>
      <c r="Q49" t="str">
        <v>-</v>
      </c>
      <c r="R49" t="str">
        <v>-</v>
      </c>
      <c r="S49" t="str">
        <v>-</v>
      </c>
      <c r="T49">
        <v>0</v>
      </c>
      <c r="U49">
        <v>37</v>
      </c>
    </row>
    <row r="50">
      <c r="A50">
        <v>35</v>
      </c>
      <c r="B50" t="str">
        <v>티코</v>
      </c>
      <c r="C50">
        <v>-18</v>
      </c>
      <c r="D50" t="str">
        <v>-</v>
      </c>
      <c r="E50" t="str">
        <v>-</v>
      </c>
      <c r="F50">
        <v>39200</v>
      </c>
      <c r="G50">
        <v>8</v>
      </c>
      <c r="H50">
        <v>4900</v>
      </c>
      <c r="I50">
        <v>8000</v>
      </c>
      <c r="J50">
        <v>0.388</v>
      </c>
      <c r="K50" t="str">
        <v>기존재고 소진 중</v>
      </c>
      <c r="L50">
        <v>1</v>
      </c>
      <c r="M50" t="str">
        <v>-</v>
      </c>
      <c r="N50" t="str">
        <v>-</v>
      </c>
      <c r="O50">
        <v>0</v>
      </c>
      <c r="P50">
        <v>1</v>
      </c>
      <c r="Q50">
        <v>1</v>
      </c>
      <c r="R50" t="str">
        <v>-</v>
      </c>
      <c r="S50">
        <v>1</v>
      </c>
      <c r="T50">
        <v>3</v>
      </c>
      <c r="U50">
        <v>47</v>
      </c>
    </row>
    <row r="51">
      <c r="A51">
        <v>36</v>
      </c>
      <c r="B51" t="str">
        <v>돼지바</v>
      </c>
      <c r="C51">
        <v>-136</v>
      </c>
      <c r="D51" t="str">
        <v>-</v>
      </c>
      <c r="E51" t="str">
        <v>-</v>
      </c>
      <c r="F51">
        <v>17280</v>
      </c>
      <c r="G51">
        <v>40</v>
      </c>
      <c r="H51">
        <v>432</v>
      </c>
      <c r="I51">
        <v>1300</v>
      </c>
      <c r="J51">
        <v>0.668</v>
      </c>
      <c r="K51" t="str">
        <v>🟢 재고 과다 (산더미처럼 쌓여 발주제외)</v>
      </c>
      <c r="L51">
        <v>0</v>
      </c>
      <c r="M51">
        <v>1</v>
      </c>
      <c r="N51">
        <v>40</v>
      </c>
      <c r="O51">
        <v>40</v>
      </c>
      <c r="P51">
        <v>1</v>
      </c>
      <c r="Q51">
        <v>1</v>
      </c>
      <c r="R51" t="str">
        <v>-</v>
      </c>
      <c r="S51" t="str">
        <v>-</v>
      </c>
      <c r="T51">
        <v>3</v>
      </c>
      <c r="U51">
        <v>12</v>
      </c>
    </row>
    <row r="52">
      <c r="A52">
        <v>37</v>
      </c>
      <c r="B52" t="str">
        <v>요맘때플레인콘</v>
      </c>
      <c r="C52">
        <v>-64</v>
      </c>
      <c r="D52" t="str">
        <v>-</v>
      </c>
      <c r="E52" t="str">
        <v>-</v>
      </c>
      <c r="F52">
        <v>23520</v>
      </c>
      <c r="G52">
        <v>24</v>
      </c>
      <c r="H52">
        <v>980</v>
      </c>
      <c r="I52">
        <v>1400</v>
      </c>
      <c r="J52">
        <v>0.3</v>
      </c>
      <c r="K52" t="str">
        <v>⚪ 최근 미판매</v>
      </c>
      <c r="L52">
        <v>0</v>
      </c>
      <c r="M52" t="str">
        <v>-</v>
      </c>
      <c r="N52" t="str">
        <v>-</v>
      </c>
      <c r="O52">
        <v>0</v>
      </c>
      <c r="P52" t="str">
        <v>-</v>
      </c>
      <c r="Q52" t="str">
        <v>-</v>
      </c>
      <c r="R52" t="str">
        <v>-</v>
      </c>
      <c r="S52" t="str">
        <v>-</v>
      </c>
      <c r="T52">
        <v>0</v>
      </c>
      <c r="U52">
        <v>44</v>
      </c>
    </row>
    <row r="53">
      <c r="A53">
        <v>38</v>
      </c>
      <c r="B53" t="str">
        <v>체리마루 컵</v>
      </c>
      <c r="C53" t="str">
        <v>-</v>
      </c>
      <c r="D53" t="str">
        <v>-</v>
      </c>
      <c r="E53" t="str">
        <v>-</v>
      </c>
      <c r="F53">
        <v>16800</v>
      </c>
      <c r="G53">
        <v>24</v>
      </c>
      <c r="H53">
        <v>700</v>
      </c>
      <c r="I53">
        <v>1500</v>
      </c>
      <c r="J53">
        <v>0.533</v>
      </c>
      <c r="K53" t="str">
        <v>⚪ 최근 미판매</v>
      </c>
      <c r="L53">
        <v>0</v>
      </c>
      <c r="M53" t="str">
        <v>-</v>
      </c>
      <c r="N53" t="str">
        <v>-</v>
      </c>
      <c r="O53">
        <v>0</v>
      </c>
      <c r="P53" t="str">
        <v>-</v>
      </c>
      <c r="Q53" t="str">
        <v>-</v>
      </c>
      <c r="R53" t="str">
        <v>-</v>
      </c>
      <c r="S53">
        <v>1</v>
      </c>
      <c r="T53">
        <v>1</v>
      </c>
      <c r="U53">
        <v>3</v>
      </c>
    </row>
    <row r="54">
      <c r="A54">
        <v>39</v>
      </c>
      <c r="B54" t="str">
        <v>월드콘</v>
      </c>
      <c r="C54" t="str">
        <v>-</v>
      </c>
      <c r="D54" t="str">
        <v>-</v>
      </c>
      <c r="E54" t="str">
        <v>-</v>
      </c>
      <c r="F54">
        <v>23520</v>
      </c>
      <c r="G54">
        <v>24</v>
      </c>
      <c r="H54">
        <v>980</v>
      </c>
      <c r="I54">
        <v>1800</v>
      </c>
      <c r="J54">
        <v>0.456</v>
      </c>
      <c r="K54" t="str">
        <v>⚪ 최근 미판매</v>
      </c>
      <c r="L54">
        <v>0</v>
      </c>
      <c r="M54" t="str">
        <v>-</v>
      </c>
      <c r="N54" t="str">
        <v>-</v>
      </c>
      <c r="O54">
        <v>0</v>
      </c>
      <c r="P54" t="str">
        <v>-</v>
      </c>
      <c r="Q54" t="str">
        <v>-</v>
      </c>
      <c r="R54" t="str">
        <v>-</v>
      </c>
      <c r="S54">
        <v>1</v>
      </c>
      <c r="T54">
        <v>1</v>
      </c>
      <c r="U54">
        <v>8</v>
      </c>
    </row>
    <row r="55">
      <c r="A55">
        <v>40</v>
      </c>
      <c r="B55" t="str">
        <v>요맘때슈팅콘</v>
      </c>
      <c r="C55" t="str">
        <v>-</v>
      </c>
      <c r="D55" t="str">
        <v>-</v>
      </c>
      <c r="E55" t="str">
        <v>-</v>
      </c>
      <c r="F55">
        <v>23520</v>
      </c>
      <c r="G55">
        <v>24</v>
      </c>
      <c r="H55">
        <v>980</v>
      </c>
      <c r="I55">
        <v>1400</v>
      </c>
      <c r="J55">
        <v>0.3</v>
      </c>
      <c r="K55" t="str">
        <v>⚪ 최근 미판매</v>
      </c>
      <c r="L55">
        <v>0</v>
      </c>
      <c r="M55" t="str">
        <v>-</v>
      </c>
      <c r="N55" t="str">
        <v>-</v>
      </c>
      <c r="O55">
        <v>0</v>
      </c>
      <c r="P55" t="str">
        <v>-</v>
      </c>
      <c r="Q55" t="str">
        <v>-</v>
      </c>
      <c r="R55" t="str">
        <v>-</v>
      </c>
      <c r="S55" t="str">
        <v>-</v>
      </c>
      <c r="T55">
        <v>0</v>
      </c>
      <c r="U55">
        <v>11</v>
      </c>
    </row>
    <row r="56">
      <c r="A56">
        <v>41</v>
      </c>
      <c r="B56" t="str">
        <v>체리마루홈</v>
      </c>
      <c r="C56" t="str">
        <v>-</v>
      </c>
      <c r="D56" t="str">
        <v>-</v>
      </c>
      <c r="E56" t="str">
        <v>-</v>
      </c>
      <c r="F56">
        <v>23100</v>
      </c>
      <c r="G56">
        <v>6</v>
      </c>
      <c r="H56">
        <v>3850</v>
      </c>
      <c r="I56">
        <v>8000</v>
      </c>
      <c r="J56">
        <v>0.519</v>
      </c>
      <c r="K56" t="str">
        <v>⚪ 최근 미판매</v>
      </c>
      <c r="L56">
        <v>0</v>
      </c>
      <c r="M56" t="str">
        <v>-</v>
      </c>
      <c r="N56" t="str">
        <v>-</v>
      </c>
      <c r="O56">
        <v>0</v>
      </c>
      <c r="P56" t="str">
        <v>-</v>
      </c>
      <c r="Q56" t="str">
        <v>-</v>
      </c>
      <c r="R56" t="str">
        <v>-</v>
      </c>
      <c r="S56" t="str">
        <v>-</v>
      </c>
      <c r="T56">
        <v>0</v>
      </c>
      <c r="U56">
        <v>16</v>
      </c>
    </row>
    <row r="57">
      <c r="A57">
        <v>42</v>
      </c>
      <c r="B57" t="str">
        <v>쿠키오</v>
      </c>
      <c r="C57" t="str">
        <v>-</v>
      </c>
      <c r="D57" t="str">
        <v>-</v>
      </c>
      <c r="E57" t="str">
        <v>-</v>
      </c>
      <c r="F57">
        <v>20160</v>
      </c>
      <c r="G57">
        <v>24</v>
      </c>
      <c r="H57">
        <v>840</v>
      </c>
      <c r="I57">
        <v>1800</v>
      </c>
      <c r="J57">
        <v>0.533</v>
      </c>
      <c r="K57" t="str">
        <v>🟢 잔여 여유 (24개)</v>
      </c>
      <c r="L57">
        <v>0</v>
      </c>
      <c r="M57">
        <v>1</v>
      </c>
      <c r="N57">
        <v>24</v>
      </c>
      <c r="O57">
        <v>24</v>
      </c>
      <c r="P57">
        <v>1</v>
      </c>
      <c r="Q57">
        <v>1</v>
      </c>
      <c r="R57">
        <v>1</v>
      </c>
      <c r="S57" t="str">
        <v>-</v>
      </c>
      <c r="T57">
        <v>4</v>
      </c>
      <c r="U57">
        <v>19</v>
      </c>
    </row>
    <row r="58">
      <c r="A58">
        <v>43</v>
      </c>
      <c r="B58" t="str">
        <v>엑설런트</v>
      </c>
      <c r="C58" t="str">
        <v>-</v>
      </c>
      <c r="D58" t="str">
        <v>-</v>
      </c>
      <c r="E58" t="str">
        <v>-</v>
      </c>
      <c r="F58">
        <v>39200</v>
      </c>
      <c r="G58">
        <v>8</v>
      </c>
      <c r="H58">
        <v>4900</v>
      </c>
      <c r="I58">
        <v>9000</v>
      </c>
      <c r="J58">
        <v>0.456</v>
      </c>
      <c r="K58" t="str">
        <v>⚪ 최근 미판매</v>
      </c>
      <c r="L58">
        <v>0</v>
      </c>
      <c r="M58" t="str">
        <v>-</v>
      </c>
      <c r="N58" t="str">
        <v>-</v>
      </c>
      <c r="O58">
        <v>0</v>
      </c>
      <c r="P58" t="str">
        <v>-</v>
      </c>
      <c r="Q58" t="str">
        <v>-</v>
      </c>
      <c r="R58">
        <v>1</v>
      </c>
      <c r="S58" t="str">
        <v>-</v>
      </c>
      <c r="T58">
        <v>1</v>
      </c>
      <c r="U58">
        <v>23</v>
      </c>
    </row>
    <row r="59">
      <c r="A59">
        <v>44</v>
      </c>
      <c r="B59" t="str">
        <v>쌍쌍바</v>
      </c>
      <c r="C59" t="str">
        <v>-</v>
      </c>
      <c r="D59" t="str">
        <v>-</v>
      </c>
      <c r="E59" t="str">
        <v>-</v>
      </c>
      <c r="F59">
        <v>17280</v>
      </c>
      <c r="G59">
        <v>40</v>
      </c>
      <c r="H59">
        <v>432</v>
      </c>
      <c r="I59">
        <v>1300</v>
      </c>
      <c r="J59">
        <v>0.668</v>
      </c>
      <c r="K59" t="str">
        <v>⚪ 최근 미판매</v>
      </c>
      <c r="L59">
        <v>0</v>
      </c>
      <c r="M59" t="str">
        <v>-</v>
      </c>
      <c r="N59" t="str">
        <v>-</v>
      </c>
      <c r="O59">
        <v>0</v>
      </c>
      <c r="P59" t="str">
        <v>-</v>
      </c>
      <c r="Q59" t="str">
        <v>-</v>
      </c>
      <c r="R59" t="str">
        <v>-</v>
      </c>
      <c r="S59" t="str">
        <v>-</v>
      </c>
      <c r="T59">
        <v>0</v>
      </c>
      <c r="U59">
        <v>26</v>
      </c>
    </row>
    <row r="60">
      <c r="A60">
        <v>45</v>
      </c>
      <c r="B60" t="str">
        <v>요맘때바</v>
      </c>
      <c r="C60" t="str">
        <v>-</v>
      </c>
      <c r="D60" t="str">
        <v>-</v>
      </c>
      <c r="E60" t="str">
        <v>-</v>
      </c>
      <c r="F60">
        <v>17280</v>
      </c>
      <c r="G60">
        <v>40</v>
      </c>
      <c r="H60">
        <v>432</v>
      </c>
      <c r="I60">
        <v>1200</v>
      </c>
      <c r="J60">
        <v>0.64</v>
      </c>
      <c r="K60" t="str">
        <v>⚪ 최근 미판매</v>
      </c>
      <c r="L60">
        <v>0</v>
      </c>
      <c r="M60" t="str">
        <v>-</v>
      </c>
      <c r="N60" t="str">
        <v>-</v>
      </c>
      <c r="O60">
        <v>0</v>
      </c>
      <c r="P60" t="str">
        <v>-</v>
      </c>
      <c r="Q60" t="str">
        <v>-</v>
      </c>
      <c r="R60" t="str">
        <v>-</v>
      </c>
      <c r="S60" t="str">
        <v>-</v>
      </c>
      <c r="T60">
        <v>0</v>
      </c>
      <c r="U60">
        <v>28</v>
      </c>
    </row>
    <row r="61">
      <c r="A61">
        <v>46</v>
      </c>
      <c r="B61" t="str">
        <v>부라보피스타치오</v>
      </c>
      <c r="C61" t="str">
        <v>-</v>
      </c>
      <c r="D61" t="str">
        <v>-</v>
      </c>
      <c r="E61" t="str">
        <v>-</v>
      </c>
      <c r="F61">
        <v>23520</v>
      </c>
      <c r="G61">
        <v>24</v>
      </c>
      <c r="H61">
        <v>980</v>
      </c>
      <c r="I61">
        <v>1500</v>
      </c>
      <c r="J61">
        <v>0.347</v>
      </c>
      <c r="K61" t="str">
        <v>⚪ 최근 미판매</v>
      </c>
      <c r="L61">
        <v>0</v>
      </c>
      <c r="M61" t="str">
        <v>-</v>
      </c>
      <c r="N61" t="str">
        <v>-</v>
      </c>
      <c r="O61">
        <v>0</v>
      </c>
      <c r="P61" t="str">
        <v>-</v>
      </c>
      <c r="Q61" t="str">
        <v>-</v>
      </c>
      <c r="R61" t="str">
        <v>-</v>
      </c>
      <c r="S61" t="str">
        <v>-</v>
      </c>
      <c r="T61">
        <v>0</v>
      </c>
      <c r="U61">
        <v>34</v>
      </c>
    </row>
    <row r="62">
      <c r="A62">
        <v>47</v>
      </c>
      <c r="B62" t="str">
        <v>시모나녹차</v>
      </c>
      <c r="C62" t="str">
        <v>-</v>
      </c>
      <c r="D62" t="str">
        <v>-</v>
      </c>
      <c r="E62" t="str">
        <v>-</v>
      </c>
      <c r="F62">
        <v>20160</v>
      </c>
      <c r="G62">
        <v>24</v>
      </c>
      <c r="H62">
        <v>840</v>
      </c>
      <c r="I62">
        <v>1800</v>
      </c>
      <c r="J62">
        <v>0.533</v>
      </c>
      <c r="K62" t="str">
        <v>🟢 잔여 여유 (24개)</v>
      </c>
      <c r="L62">
        <v>0</v>
      </c>
      <c r="M62">
        <v>1</v>
      </c>
      <c r="N62">
        <v>24</v>
      </c>
      <c r="O62">
        <v>24</v>
      </c>
      <c r="P62" t="str">
        <v>-</v>
      </c>
      <c r="Q62" t="str">
        <v>-</v>
      </c>
      <c r="R62" t="str">
        <v>-</v>
      </c>
      <c r="S62" t="str">
        <v>-</v>
      </c>
      <c r="T62">
        <v>1</v>
      </c>
      <c r="U62">
        <v>38</v>
      </c>
    </row>
    <row r="63">
      <c r="A63">
        <v>48</v>
      </c>
      <c r="B63" t="str">
        <v>설레임밀크</v>
      </c>
      <c r="C63" t="str">
        <v>-</v>
      </c>
      <c r="D63" t="str">
        <v>-</v>
      </c>
      <c r="E63" t="str">
        <v>-</v>
      </c>
      <c r="F63">
        <v>23520</v>
      </c>
      <c r="G63">
        <v>24</v>
      </c>
      <c r="H63">
        <v>980</v>
      </c>
      <c r="I63">
        <v>1800</v>
      </c>
      <c r="J63">
        <v>0.456</v>
      </c>
      <c r="K63" t="str">
        <v>⚪ 최근 미판매</v>
      </c>
      <c r="L63">
        <v>0</v>
      </c>
      <c r="M63" t="str">
        <v>-</v>
      </c>
      <c r="N63" t="str">
        <v>-</v>
      </c>
      <c r="O63">
        <v>0</v>
      </c>
      <c r="P63">
        <v>1</v>
      </c>
      <c r="Q63">
        <v>1</v>
      </c>
      <c r="R63">
        <v>1</v>
      </c>
      <c r="S63" t="str">
        <v>-</v>
      </c>
      <c r="T63">
        <v>3</v>
      </c>
      <c r="U63">
        <v>39</v>
      </c>
    </row>
    <row r="64">
      <c r="A64">
        <v>49</v>
      </c>
      <c r="B64" t="str">
        <v>설레임커피</v>
      </c>
      <c r="C64" t="str">
        <v>-</v>
      </c>
      <c r="D64" t="str">
        <v>-</v>
      </c>
      <c r="E64" t="str">
        <v>-</v>
      </c>
      <c r="F64">
        <v>23520</v>
      </c>
      <c r="G64">
        <v>24</v>
      </c>
      <c r="H64">
        <v>980</v>
      </c>
      <c r="I64">
        <v>1800</v>
      </c>
      <c r="J64">
        <v>0.456</v>
      </c>
      <c r="K64" t="str">
        <v>⚪ 최근 미판매</v>
      </c>
      <c r="L64">
        <v>0</v>
      </c>
      <c r="M64" t="str">
        <v>-</v>
      </c>
      <c r="N64" t="str">
        <v>-</v>
      </c>
      <c r="O64">
        <v>0</v>
      </c>
      <c r="P64">
        <v>1</v>
      </c>
      <c r="Q64">
        <v>1</v>
      </c>
      <c r="R64">
        <v>1</v>
      </c>
      <c r="S64" t="str">
        <v>-</v>
      </c>
      <c r="T64">
        <v>3</v>
      </c>
      <c r="U64">
        <v>40</v>
      </c>
    </row>
    <row r="65">
      <c r="A65">
        <v>50</v>
      </c>
      <c r="B65" t="str">
        <v>설레임쿠앤크</v>
      </c>
      <c r="C65" t="str">
        <v>-</v>
      </c>
      <c r="D65" t="str">
        <v>-</v>
      </c>
      <c r="E65" t="str">
        <v>-</v>
      </c>
      <c r="F65">
        <v>23520</v>
      </c>
      <c r="G65">
        <v>24</v>
      </c>
      <c r="H65">
        <v>980</v>
      </c>
      <c r="I65">
        <v>1800</v>
      </c>
      <c r="J65">
        <v>0.456</v>
      </c>
      <c r="K65" t="str">
        <v>⚪ 최근 미판매</v>
      </c>
      <c r="L65">
        <v>0</v>
      </c>
      <c r="M65" t="str">
        <v>-</v>
      </c>
      <c r="N65" t="str">
        <v>-</v>
      </c>
      <c r="O65">
        <v>0</v>
      </c>
      <c r="P65">
        <v>1</v>
      </c>
      <c r="Q65">
        <v>1</v>
      </c>
      <c r="R65" t="str">
        <v>-</v>
      </c>
      <c r="S65" t="str">
        <v>-</v>
      </c>
      <c r="T65">
        <v>2</v>
      </c>
      <c r="U65">
        <v>41</v>
      </c>
    </row>
    <row r="66">
      <c r="A66">
        <v>51</v>
      </c>
      <c r="B66" t="str">
        <v>슈퍼콘민트</v>
      </c>
      <c r="C66" t="str">
        <v>-</v>
      </c>
      <c r="D66" t="str">
        <v>-</v>
      </c>
      <c r="E66" t="str">
        <v>-</v>
      </c>
      <c r="F66">
        <v>14700</v>
      </c>
      <c r="G66">
        <v>24</v>
      </c>
      <c r="H66">
        <v>612.5</v>
      </c>
      <c r="I66">
        <v>1600</v>
      </c>
      <c r="J66">
        <v>0.617</v>
      </c>
      <c r="K66" t="str">
        <v>⚪ 최근 미판매</v>
      </c>
      <c r="L66">
        <v>0</v>
      </c>
      <c r="M66" t="str">
        <v>-</v>
      </c>
      <c r="N66" t="str">
        <v>-</v>
      </c>
      <c r="O66">
        <v>0</v>
      </c>
      <c r="P66" t="str">
        <v>-</v>
      </c>
      <c r="Q66" t="str">
        <v>-</v>
      </c>
      <c r="R66" t="str">
        <v>-</v>
      </c>
      <c r="S66" t="str">
        <v>-</v>
      </c>
      <c r="T66">
        <v>0</v>
      </c>
      <c r="U66">
        <v>42</v>
      </c>
    </row>
    <row r="67">
      <c r="A67">
        <v>52</v>
      </c>
      <c r="B67" t="str">
        <v>요맘때딸기콘</v>
      </c>
      <c r="C67" t="str">
        <v>-</v>
      </c>
      <c r="D67" t="str">
        <v>-</v>
      </c>
      <c r="E67" t="str">
        <v>-</v>
      </c>
      <c r="F67">
        <v>23520</v>
      </c>
      <c r="G67">
        <v>24</v>
      </c>
      <c r="H67">
        <v>980</v>
      </c>
      <c r="I67">
        <v>1400</v>
      </c>
      <c r="J67">
        <v>0.3</v>
      </c>
      <c r="K67" t="str">
        <v>⚪ 최근 미판매</v>
      </c>
      <c r="L67">
        <v>0</v>
      </c>
      <c r="M67" t="str">
        <v>-</v>
      </c>
      <c r="N67" t="str">
        <v>-</v>
      </c>
      <c r="O67">
        <v>0</v>
      </c>
      <c r="P67" t="str">
        <v>-</v>
      </c>
      <c r="Q67" t="str">
        <v>-</v>
      </c>
      <c r="R67" t="str">
        <v>-</v>
      </c>
      <c r="S67" t="str">
        <v>-</v>
      </c>
      <c r="T67">
        <v>0</v>
      </c>
      <c r="U67">
        <v>43</v>
      </c>
    </row>
    <row r="68">
      <c r="A68">
        <v>53</v>
      </c>
      <c r="B68" t="str">
        <v>호두마루 컵</v>
      </c>
      <c r="C68" t="str">
        <v>-</v>
      </c>
      <c r="D68" t="str">
        <v>-</v>
      </c>
      <c r="E68" t="str">
        <v>-</v>
      </c>
      <c r="F68">
        <v>16800</v>
      </c>
      <c r="G68">
        <v>24</v>
      </c>
      <c r="H68">
        <v>700</v>
      </c>
      <c r="I68">
        <v>1500</v>
      </c>
      <c r="J68">
        <v>0.533</v>
      </c>
      <c r="K68" t="str">
        <v>⚪ 최근 미판매</v>
      </c>
      <c r="L68">
        <v>0</v>
      </c>
      <c r="M68" t="str">
        <v>-</v>
      </c>
      <c r="N68" t="str">
        <v>-</v>
      </c>
      <c r="O68">
        <v>0</v>
      </c>
      <c r="P68">
        <v>1</v>
      </c>
      <c r="Q68">
        <v>1</v>
      </c>
      <c r="R68" t="str">
        <v>-</v>
      </c>
      <c r="S68" t="str">
        <v>-</v>
      </c>
      <c r="T68">
        <v>2</v>
      </c>
      <c r="U68">
        <v>51</v>
      </c>
    </row>
  </sheetData>
  <ignoredErrors>
    <ignoredError numberStoredAsText="1" sqref="A1:U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3:H12"/>
  <sheetViews>
    <sheetView workbookViewId="0"/>
  </sheetViews>
  <sheetData>
    <row r="3">
      <c r="B3" t="str">
        <v>순번</v>
      </c>
      <c r="C3" t="str">
        <v>품명</v>
      </c>
      <c r="D3" t="str">
        <v>수량</v>
      </c>
      <c r="E3" t="str">
        <v>박스입수</v>
      </c>
      <c r="F3" t="str">
        <v>박스원가</v>
      </c>
      <c r="G3" t="str">
        <v>주문금액</v>
      </c>
      <c r="H3" t="str">
        <v>현장 맞춤 사유</v>
      </c>
    </row>
    <row r="4">
      <c r="B4">
        <v>1</v>
      </c>
      <c r="C4" t="str">
        <v>메로나</v>
      </c>
      <c r="D4" t="str">
        <v>1박스</v>
      </c>
      <c r="E4" t="str">
        <v>40입</v>
      </c>
      <c r="F4" t="str">
        <v>17,280원</v>
      </c>
      <c r="G4" t="str">
        <v>17,280원</v>
      </c>
      <c r="H4" t="str">
        <v>판매 1위인데 바 칸에 전멸</v>
      </c>
    </row>
    <row r="5">
      <c r="B5">
        <v>2</v>
      </c>
      <c r="C5" t="str">
        <v>바닐라빵빠레</v>
      </c>
      <c r="D5" t="str">
        <v>1박스</v>
      </c>
      <c r="E5" t="str">
        <v>15입</v>
      </c>
      <c r="F5" t="str">
        <v>14,700원</v>
      </c>
      <c r="G5" t="str">
        <v>14,700원</v>
      </c>
      <c r="H5" t="str">
        <v>실재고 1~2개로 바닥</v>
      </c>
    </row>
    <row r="6">
      <c r="B6">
        <v>3</v>
      </c>
      <c r="C6" t="str">
        <v>초코빵빠레</v>
      </c>
      <c r="D6" t="str">
        <v>1박스</v>
      </c>
      <c r="E6" t="str">
        <v>15입</v>
      </c>
      <c r="F6" t="str">
        <v>14,700원</v>
      </c>
      <c r="G6" t="str">
        <v>14,700원</v>
      </c>
      <c r="H6" t="str">
        <v>완판되어 품절</v>
      </c>
    </row>
    <row r="7">
      <c r="B7">
        <v>4</v>
      </c>
      <c r="C7" t="str">
        <v>더블비얀코</v>
      </c>
      <c r="D7" t="str">
        <v>1박스</v>
      </c>
      <c r="E7" t="str">
        <v>15입</v>
      </c>
      <c r="F7" t="str">
        <v>14,700원</v>
      </c>
      <c r="G7" t="str">
        <v>14,700원</v>
      </c>
      <c r="H7" t="str">
        <v>15개 소포장 &amp; 소프트컵 구색 보충</v>
      </c>
    </row>
    <row r="8">
      <c r="B8">
        <v>5</v>
      </c>
      <c r="C8" t="str">
        <v>구구콘</v>
      </c>
      <c r="D8" t="str">
        <v>1박스</v>
      </c>
      <c r="E8" t="str">
        <v>24입</v>
      </c>
      <c r="F8" t="str">
        <v>20,160원</v>
      </c>
      <c r="G8" t="str">
        <v>20,160원</v>
      </c>
      <c r="H8" t="str">
        <v>부라보(바닐라)만 넘치므로 '초코콘' 구색 필수</v>
      </c>
    </row>
    <row r="9">
      <c r="B9">
        <v>6</v>
      </c>
      <c r="C9" t="str">
        <v>해태] 찐 팥빙수</v>
      </c>
      <c r="D9" t="str">
        <v>1박스</v>
      </c>
      <c r="E9" t="str">
        <v>16입</v>
      </c>
      <c r="F9" t="str">
        <v>22,400원</v>
      </c>
      <c r="G9" t="str">
        <v>22,400원</v>
      </c>
      <c r="H9" t="str">
        <v>바닥에 딱 2개 남음</v>
      </c>
    </row>
    <row r="10">
      <c r="B10">
        <v>7</v>
      </c>
      <c r="C10" t="str">
        <v>투게더그라시아 미니</v>
      </c>
      <c r="D10" t="str">
        <v>1박스</v>
      </c>
      <c r="E10" t="str">
        <v>8입</v>
      </c>
      <c r="F10" t="str">
        <v>15,680원</v>
      </c>
      <c r="G10" t="str">
        <v>15,680원</v>
      </c>
      <c r="H10" t="str">
        <v>쿠앤크맛 완판 ➡️ 8개 소포장 &amp; 마진 51%</v>
      </c>
    </row>
    <row r="11">
      <c r="B11">
        <v>8</v>
      </c>
      <c r="C11" t="str">
        <v>비비빅</v>
      </c>
      <c r="D11" t="str">
        <v>1박스</v>
      </c>
      <c r="E11" t="str">
        <v>40입</v>
      </c>
      <c r="F11" t="str">
        <v>17,280원</v>
      </c>
      <c r="G11" t="str">
        <v>17,280원</v>
      </c>
      <c r="H11" t="str">
        <v>단골 필수품 바닥권</v>
      </c>
    </row>
    <row r="12">
      <c r="B12">
        <v>9</v>
      </c>
      <c r="C12" t="str">
        <v>탱크보이</v>
      </c>
      <c r="D12" t="str">
        <v>1박스</v>
      </c>
      <c r="E12" t="str">
        <v>30입</v>
      </c>
      <c r="F12" t="str">
        <v>19,600원</v>
      </c>
      <c r="G12" t="str">
        <v>19,600원</v>
      </c>
      <c r="H12" t="str">
        <v>튜브류 칸 소진 보충</v>
      </c>
    </row>
  </sheetData>
  <pageMargins left="0.7" right="0.7" top="0.75" bottom="0.75" header="0.3" footer="0.3"/>
  <ignoredErrors>
    <ignoredError numberStoredAsText="1" sqref="B3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Data>
    <row r="1">
      <c r="C1" t="str">
        <v>총</v>
      </c>
      <c r="D1">
        <f>SUBTOTAL(9,D3:D42)</f>
        <v>10</v>
      </c>
      <c r="F1">
        <f>SUBTOTAL(9,F3:F42)</f>
        <v>94360</v>
      </c>
    </row>
    <row r="2">
      <c r="A2" t="str">
        <v>순번</v>
      </c>
      <c r="B2" t="str">
        <v>발주 번호</v>
      </c>
      <c r="C2" t="str">
        <v>품명</v>
      </c>
      <c r="D2" t="str">
        <v>박스수량</v>
      </c>
      <c r="E2" t="str">
        <v>박스원가</v>
      </c>
      <c r="F2" t="str">
        <v>주문액</v>
      </c>
      <c r="G2" t="str">
        <v>박스입수</v>
      </c>
      <c r="H2" t="str">
        <v>개당원가</v>
      </c>
      <c r="I2" t="str">
        <v>판매가</v>
      </c>
      <c r="J2" t="str">
        <v>마진율</v>
      </c>
      <c r="K2" t="str">
        <v>발주 이력 260527</v>
      </c>
      <c r="L2" t="str">
        <v>발주 이력 260419</v>
      </c>
      <c r="M2" t="str">
        <v>발주 이력 251227</v>
      </c>
      <c r="N2" t="str">
        <v>발주 이력 251028</v>
      </c>
      <c r="O2" t="str">
        <v>합계</v>
      </c>
    </row>
    <row r="3">
      <c r="A3">
        <v>1</v>
      </c>
      <c r="B3">
        <v>1</v>
      </c>
      <c r="C3" t="str">
        <v>투게더 미니</v>
      </c>
      <c r="E3">
        <v>15680</v>
      </c>
      <c r="F3">
        <f>E3*D3</f>
        <v>0</v>
      </c>
      <c r="G3">
        <v>8</v>
      </c>
      <c r="H3">
        <f>E3/G3</f>
        <v>1960</v>
      </c>
      <c r="I3">
        <v>2800</v>
      </c>
      <c r="J3">
        <f>H3/I3</f>
        <v>0.7</v>
      </c>
      <c r="K3">
        <v>2</v>
      </c>
      <c r="L3">
        <v>2</v>
      </c>
      <c r="M3">
        <v>2</v>
      </c>
      <c r="N3">
        <v>1</v>
      </c>
      <c r="O3">
        <f>SUM(L3:N3)</f>
        <v>5</v>
      </c>
    </row>
    <row r="4">
      <c r="A4">
        <v>2</v>
      </c>
      <c r="B4">
        <v>2</v>
      </c>
      <c r="C4" t="str">
        <v>투게더그라시아 미니(쿠앤크)</v>
      </c>
      <c r="E4">
        <v>15680</v>
      </c>
      <c r="F4">
        <f>E4*D4</f>
        <v>0</v>
      </c>
      <c r="G4">
        <v>8</v>
      </c>
      <c r="H4">
        <f>E4/G4</f>
        <v>1960</v>
      </c>
      <c r="I4">
        <v>2800</v>
      </c>
      <c r="K4">
        <v>1</v>
      </c>
      <c r="L4">
        <v>2</v>
      </c>
      <c r="M4">
        <v>2</v>
      </c>
      <c r="N4">
        <v>1</v>
      </c>
      <c r="O4">
        <f>SUM(L4:N4)</f>
        <v>5</v>
      </c>
    </row>
    <row r="5">
      <c r="A5">
        <v>3</v>
      </c>
      <c r="B5">
        <v>3</v>
      </c>
      <c r="C5" t="str">
        <v>체리마루 컵</v>
      </c>
      <c r="H5" t="e">
        <f>E5/G5</f>
        <v>#DIV/0!</v>
      </c>
      <c r="N5">
        <v>1</v>
      </c>
      <c r="O5">
        <f>SUM(L5:N5)</f>
        <v>1</v>
      </c>
    </row>
    <row r="6">
      <c r="A6">
        <v>4</v>
      </c>
      <c r="B6">
        <v>4</v>
      </c>
      <c r="C6" t="str">
        <v>초코빵빠레</v>
      </c>
      <c r="D6">
        <v>1</v>
      </c>
      <c r="E6">
        <v>14700</v>
      </c>
      <c r="F6">
        <f>E6*D6</f>
        <v>14700</v>
      </c>
      <c r="G6">
        <v>15</v>
      </c>
      <c r="H6">
        <f>E6/G6</f>
        <v>980</v>
      </c>
      <c r="N6">
        <v>1</v>
      </c>
      <c r="O6">
        <f>SUM(L6:N6)</f>
        <v>1</v>
      </c>
    </row>
    <row r="7">
      <c r="A7">
        <v>5</v>
      </c>
      <c r="B7">
        <v>4</v>
      </c>
      <c r="C7" t="str">
        <v>바닐라빵빠레</v>
      </c>
      <c r="D7">
        <v>1</v>
      </c>
      <c r="E7">
        <v>14700</v>
      </c>
      <c r="F7">
        <f>E7*D7</f>
        <v>14700</v>
      </c>
      <c r="G7">
        <v>15</v>
      </c>
      <c r="H7">
        <f>E7/G7</f>
        <v>980</v>
      </c>
      <c r="O7">
        <f>SUM(L7:N7)</f>
        <v>0</v>
      </c>
    </row>
    <row r="8">
      <c r="A8">
        <v>6</v>
      </c>
      <c r="B8">
        <v>5</v>
      </c>
      <c r="C8" t="str">
        <v>더블비얀코</v>
      </c>
      <c r="E8">
        <v>14700</v>
      </c>
      <c r="F8">
        <f>E8*D8</f>
        <v>0</v>
      </c>
      <c r="G8">
        <v>15</v>
      </c>
      <c r="H8">
        <f>E8/G8</f>
        <v>980</v>
      </c>
      <c r="N8">
        <v>1</v>
      </c>
      <c r="O8">
        <f>SUM(L8:N8)</f>
        <v>1</v>
      </c>
    </row>
    <row r="9">
      <c r="A9">
        <v>7</v>
      </c>
      <c r="B9">
        <v>3</v>
      </c>
      <c r="C9" t="str">
        <v>와</v>
      </c>
      <c r="E9">
        <v>13440</v>
      </c>
      <c r="F9">
        <f>E9*D9</f>
        <v>0</v>
      </c>
      <c r="G9">
        <v>16</v>
      </c>
      <c r="H9">
        <f>E9/G9</f>
        <v>840</v>
      </c>
      <c r="K9">
        <v>1</v>
      </c>
      <c r="L9">
        <v>1</v>
      </c>
      <c r="M9">
        <v>2</v>
      </c>
      <c r="N9">
        <v>1</v>
      </c>
      <c r="O9">
        <f>SUM(L9:N9)</f>
        <v>4</v>
      </c>
    </row>
    <row r="10">
      <c r="A10">
        <v>8</v>
      </c>
      <c r="B10">
        <v>7</v>
      </c>
      <c r="C10" t="str">
        <v>월드콘</v>
      </c>
      <c r="E10">
        <v>23520</v>
      </c>
      <c r="F10">
        <f>E10*D10</f>
        <v>0</v>
      </c>
      <c r="G10">
        <v>24</v>
      </c>
      <c r="H10">
        <f>E10/G10</f>
        <v>980</v>
      </c>
      <c r="N10">
        <v>1</v>
      </c>
      <c r="O10">
        <f>SUM(L10:N10)</f>
        <v>1</v>
      </c>
    </row>
    <row r="11">
      <c r="A11">
        <v>9</v>
      </c>
      <c r="B11">
        <v>4</v>
      </c>
      <c r="C11" t="str">
        <v>부라보콘바닐라</v>
      </c>
      <c r="D11">
        <v>1</v>
      </c>
      <c r="F11">
        <f>E11*D11</f>
        <v>0</v>
      </c>
      <c r="H11" t="e">
        <f>E11/G11</f>
        <v>#DIV/0!</v>
      </c>
      <c r="K11">
        <v>1</v>
      </c>
      <c r="N11">
        <v>1</v>
      </c>
      <c r="O11">
        <f>SUM(L11:N11)</f>
        <v>1</v>
      </c>
    </row>
    <row r="12">
      <c r="A12">
        <v>10</v>
      </c>
      <c r="B12">
        <v>5</v>
      </c>
      <c r="C12" t="str">
        <v>슈퍼콘초코</v>
      </c>
      <c r="E12">
        <v>14700</v>
      </c>
      <c r="F12">
        <f>E12*D12</f>
        <v>0</v>
      </c>
      <c r="G12">
        <v>24</v>
      </c>
      <c r="H12">
        <f>E12/G12</f>
        <v>612.5</v>
      </c>
      <c r="K12">
        <v>1</v>
      </c>
      <c r="M12">
        <v>1</v>
      </c>
      <c r="N12">
        <v>1</v>
      </c>
      <c r="O12">
        <f>SUM(L12:N12)</f>
        <v>2</v>
      </c>
    </row>
    <row r="13">
      <c r="A13">
        <v>11</v>
      </c>
      <c r="B13">
        <v>9</v>
      </c>
      <c r="C13" t="str">
        <v>요맘때슈팅콘</v>
      </c>
      <c r="E13">
        <v>23520</v>
      </c>
      <c r="F13">
        <f>E13*D13</f>
        <v>0</v>
      </c>
      <c r="G13">
        <v>24</v>
      </c>
      <c r="H13">
        <f>E13/G13</f>
        <v>980</v>
      </c>
      <c r="I13">
        <v>1400</v>
      </c>
      <c r="O13">
        <f>SUM(L13:N13)</f>
        <v>0</v>
      </c>
    </row>
    <row r="14">
      <c r="A14">
        <v>12</v>
      </c>
      <c r="B14">
        <v>4</v>
      </c>
      <c r="C14" t="str">
        <v>돼지바</v>
      </c>
      <c r="D14">
        <v>1</v>
      </c>
      <c r="F14">
        <f>E14*D14</f>
        <v>0</v>
      </c>
      <c r="H14" t="e">
        <f>E14/G14</f>
        <v>#DIV/0!</v>
      </c>
      <c r="L14">
        <v>1</v>
      </c>
      <c r="O14">
        <f>SUM(L14:N14)</f>
        <v>1</v>
      </c>
    </row>
    <row r="15">
      <c r="A15">
        <v>13</v>
      </c>
      <c r="B15">
        <v>6</v>
      </c>
      <c r="C15" t="str">
        <v>메로나</v>
      </c>
      <c r="F15">
        <f>E15*D15</f>
        <v>0</v>
      </c>
      <c r="H15" t="e">
        <f>E15/G15</f>
        <v>#DIV/0!</v>
      </c>
      <c r="K15">
        <v>1</v>
      </c>
      <c r="N15">
        <v>1</v>
      </c>
      <c r="O15">
        <f>SUM(L15:N15)</f>
        <v>1</v>
      </c>
    </row>
    <row r="16">
      <c r="A16">
        <v>14</v>
      </c>
      <c r="B16">
        <v>11</v>
      </c>
      <c r="C16" t="str">
        <v>스크류바</v>
      </c>
      <c r="D16">
        <v>0</v>
      </c>
      <c r="E16">
        <v>16800</v>
      </c>
      <c r="F16">
        <f>E16*D16</f>
        <v>0</v>
      </c>
      <c r="G16">
        <v>40</v>
      </c>
      <c r="H16">
        <f>E16/G16</f>
        <v>420</v>
      </c>
      <c r="N16">
        <v>1</v>
      </c>
      <c r="O16">
        <f>SUM(L16:N16)</f>
        <v>1</v>
      </c>
    </row>
    <row r="17">
      <c r="A17">
        <v>15</v>
      </c>
      <c r="B17">
        <v>11</v>
      </c>
      <c r="C17" t="str">
        <v>옥동자</v>
      </c>
      <c r="E17">
        <v>16800</v>
      </c>
      <c r="F17">
        <f>E17*D17</f>
        <v>0</v>
      </c>
      <c r="G17">
        <v>40</v>
      </c>
      <c r="H17">
        <f>E17/G17</f>
        <v>420</v>
      </c>
      <c r="O17">
        <f>SUM(L17:N17)</f>
        <v>0</v>
      </c>
    </row>
    <row r="18">
      <c r="A18">
        <v>16</v>
      </c>
      <c r="B18">
        <v>12</v>
      </c>
      <c r="C18" t="str">
        <v>체리마루홈</v>
      </c>
      <c r="F18">
        <f>E18*D18</f>
        <v>0</v>
      </c>
      <c r="H18" t="e">
        <f>E18/G18</f>
        <v>#DIV/0!</v>
      </c>
      <c r="O18">
        <f>SUM(L18:N18)</f>
        <v>0</v>
      </c>
    </row>
    <row r="19">
      <c r="A19">
        <v>17</v>
      </c>
      <c r="B19">
        <v>7</v>
      </c>
      <c r="C19" t="str">
        <v>떡붕어싸만코</v>
      </c>
      <c r="E19">
        <v>29400</v>
      </c>
      <c r="F19">
        <f>E19*D19</f>
        <v>0</v>
      </c>
      <c r="G19">
        <v>30</v>
      </c>
      <c r="H19">
        <f>E19/G19</f>
        <v>980</v>
      </c>
      <c r="K19">
        <v>1</v>
      </c>
      <c r="L19">
        <v>1</v>
      </c>
      <c r="M19">
        <v>1</v>
      </c>
      <c r="N19">
        <v>1</v>
      </c>
      <c r="O19">
        <f>SUM(L19:N19)</f>
        <v>3</v>
      </c>
    </row>
    <row r="20">
      <c r="A20">
        <v>18</v>
      </c>
      <c r="B20">
        <v>8</v>
      </c>
      <c r="C20" t="str">
        <v>빵또아</v>
      </c>
      <c r="E20">
        <v>23520</v>
      </c>
      <c r="F20">
        <f>E20*D20</f>
        <v>0</v>
      </c>
      <c r="G20">
        <v>24</v>
      </c>
      <c r="H20">
        <f>E20/G20</f>
        <v>980</v>
      </c>
      <c r="K20">
        <v>1</v>
      </c>
      <c r="N20">
        <v>1</v>
      </c>
      <c r="O20">
        <f>SUM(L20:N20)</f>
        <v>1</v>
      </c>
    </row>
    <row r="21">
      <c r="A21">
        <v>19</v>
      </c>
      <c r="B21">
        <v>9</v>
      </c>
      <c r="C21" t="str">
        <v>쿠키오</v>
      </c>
      <c r="D21">
        <v>1</v>
      </c>
      <c r="E21">
        <v>20160</v>
      </c>
      <c r="F21">
        <f>E21*D21</f>
        <v>20160</v>
      </c>
      <c r="G21">
        <v>24</v>
      </c>
      <c r="H21">
        <f>E21/G21</f>
        <v>840</v>
      </c>
      <c r="K21">
        <v>1</v>
      </c>
      <c r="L21">
        <v>1</v>
      </c>
      <c r="M21">
        <v>1</v>
      </c>
      <c r="O21">
        <f>SUM(L21:N21)</f>
        <v>2</v>
      </c>
    </row>
    <row r="22">
      <c r="A22">
        <v>20</v>
      </c>
      <c r="C22" t="str">
        <v>탱크보이</v>
      </c>
      <c r="E22">
        <v>19600</v>
      </c>
      <c r="F22">
        <f>E22*D22</f>
        <v>0</v>
      </c>
      <c r="G22">
        <v>35</v>
      </c>
      <c r="H22">
        <f>E22/G22</f>
        <v>560</v>
      </c>
      <c r="M22">
        <v>1</v>
      </c>
      <c r="O22">
        <f>SUM(L22:N22)</f>
        <v>1</v>
      </c>
    </row>
    <row r="23">
      <c r="A23">
        <v>21</v>
      </c>
      <c r="B23">
        <v>14</v>
      </c>
      <c r="C23" t="str">
        <v>주물럭콜라</v>
      </c>
      <c r="F23">
        <f>E23*D23</f>
        <v>0</v>
      </c>
      <c r="H23" t="e">
        <f>E23/G23</f>
        <v>#DIV/0!</v>
      </c>
      <c r="O23">
        <f>SUM(L23:N23)</f>
        <v>0</v>
      </c>
    </row>
    <row r="24">
      <c r="A24">
        <v>22</v>
      </c>
      <c r="B24">
        <v>14</v>
      </c>
      <c r="C24" t="str">
        <v>빠삐코 초코</v>
      </c>
      <c r="E24">
        <v>19600</v>
      </c>
      <c r="F24">
        <f>E24*D24</f>
        <v>0</v>
      </c>
      <c r="G24">
        <v>35</v>
      </c>
      <c r="H24">
        <f>E24/G24</f>
        <v>560</v>
      </c>
      <c r="N24">
        <v>1</v>
      </c>
      <c r="O24">
        <f>SUM(L24:N24)</f>
        <v>1</v>
      </c>
    </row>
    <row r="25">
      <c r="A25">
        <v>23</v>
      </c>
      <c r="B25">
        <v>15</v>
      </c>
      <c r="C25" t="str">
        <v>엑설런트</v>
      </c>
      <c r="E25">
        <v>39200</v>
      </c>
      <c r="F25">
        <f>E25*D25</f>
        <v>0</v>
      </c>
      <c r="G25">
        <v>8</v>
      </c>
      <c r="H25">
        <f>E25/G25</f>
        <v>4900</v>
      </c>
      <c r="M25">
        <v>1</v>
      </c>
      <c r="O25">
        <f>SUM(L25:N25)</f>
        <v>1</v>
      </c>
    </row>
    <row r="26">
      <c r="A26">
        <v>24</v>
      </c>
      <c r="C26" t="str">
        <v>누가바</v>
      </c>
      <c r="F26">
        <f>E26*D26</f>
        <v>0</v>
      </c>
      <c r="H26" t="e">
        <f>E26/G26</f>
        <v>#DIV/0!</v>
      </c>
      <c r="O26">
        <f>SUM(L26:N26)</f>
        <v>0</v>
      </c>
    </row>
    <row r="27">
      <c r="A27">
        <v>25</v>
      </c>
      <c r="B27">
        <v>7</v>
      </c>
      <c r="C27" t="str">
        <v>구구크러스터</v>
      </c>
      <c r="F27">
        <f>E27*D27</f>
        <v>0</v>
      </c>
      <c r="H27" t="e">
        <f>E27/G27</f>
        <v>#DIV/0!</v>
      </c>
      <c r="L27">
        <v>1</v>
      </c>
      <c r="O27">
        <f>SUM(L27:N27)</f>
        <v>1</v>
      </c>
    </row>
    <row r="28">
      <c r="A28">
        <v>26</v>
      </c>
      <c r="C28" t="str">
        <v>쌍쌍바</v>
      </c>
      <c r="F28">
        <f>E28*D28</f>
        <v>0</v>
      </c>
      <c r="H28" t="e">
        <f>E28/G28</f>
        <v>#DIV/0!</v>
      </c>
      <c r="O28">
        <f>SUM(L28:N28)</f>
        <v>0</v>
      </c>
    </row>
    <row r="29">
      <c r="A29">
        <v>27</v>
      </c>
      <c r="B29">
        <v>10</v>
      </c>
      <c r="C29" t="str">
        <v>아맛나</v>
      </c>
      <c r="F29">
        <f>E29*D29</f>
        <v>0</v>
      </c>
      <c r="H29" t="e">
        <f>E29/G29</f>
        <v>#DIV/0!</v>
      </c>
      <c r="K29">
        <v>1</v>
      </c>
      <c r="O29">
        <f>SUM(L29:N29)</f>
        <v>0</v>
      </c>
    </row>
    <row r="30">
      <c r="A30">
        <v>28</v>
      </c>
      <c r="B30">
        <v>17</v>
      </c>
      <c r="C30" t="str">
        <v>요맘때바</v>
      </c>
      <c r="D30">
        <v>0</v>
      </c>
      <c r="E30">
        <v>17280</v>
      </c>
      <c r="F30">
        <f>E30*D30</f>
        <v>0</v>
      </c>
      <c r="G30">
        <v>40</v>
      </c>
      <c r="H30">
        <f>E30/G30</f>
        <v>432</v>
      </c>
      <c r="I30">
        <v>1200</v>
      </c>
      <c r="O30">
        <f>SUM(L30:N30)</f>
        <v>0</v>
      </c>
    </row>
    <row r="31">
      <c r="A31">
        <v>29</v>
      </c>
      <c r="C31" t="str">
        <v>죠스바</v>
      </c>
      <c r="E31">
        <v>16800</v>
      </c>
      <c r="F31">
        <f>E31*D31</f>
        <v>0</v>
      </c>
      <c r="G31">
        <v>40</v>
      </c>
      <c r="H31">
        <f>E31/G31</f>
        <v>420</v>
      </c>
      <c r="M31">
        <v>1</v>
      </c>
      <c r="O31">
        <f>SUM(L31:N31)</f>
        <v>1</v>
      </c>
    </row>
    <row r="32">
      <c r="A32">
        <v>30</v>
      </c>
      <c r="B32">
        <v>18</v>
      </c>
      <c r="C32" t="str">
        <v>와일드바디</v>
      </c>
      <c r="D32">
        <v>1</v>
      </c>
      <c r="E32">
        <v>16800</v>
      </c>
      <c r="F32">
        <f>E32*D32</f>
        <v>16800</v>
      </c>
      <c r="G32">
        <v>40</v>
      </c>
      <c r="H32">
        <f>E32/G32</f>
        <v>420</v>
      </c>
      <c r="O32">
        <f>SUM(L32:N32)</f>
        <v>0</v>
      </c>
    </row>
    <row r="33">
      <c r="A33">
        <v>31</v>
      </c>
      <c r="B33">
        <v>19</v>
      </c>
      <c r="C33" t="str">
        <v>수박바</v>
      </c>
      <c r="D33">
        <v>1</v>
      </c>
      <c r="F33">
        <f>E33*D33</f>
        <v>0</v>
      </c>
      <c r="H33" t="e">
        <f>E33/G33</f>
        <v>#DIV/0!</v>
      </c>
      <c r="O33">
        <f>SUM(L33:N33)</f>
        <v>0</v>
      </c>
    </row>
    <row r="34">
      <c r="A34">
        <v>32</v>
      </c>
      <c r="B34">
        <v>15</v>
      </c>
      <c r="C34" t="str">
        <v>비비빅</v>
      </c>
      <c r="D34">
        <v>0</v>
      </c>
      <c r="F34">
        <f>E34*D34</f>
        <v>0</v>
      </c>
      <c r="H34" t="e">
        <f>E34/G34</f>
        <v>#DIV/0!</v>
      </c>
      <c r="N34">
        <v>1</v>
      </c>
      <c r="O34">
        <f>SUM(L34:N34)</f>
        <v>1</v>
      </c>
    </row>
    <row r="35">
      <c r="A35">
        <v>33</v>
      </c>
      <c r="C35" t="str">
        <v>초코퍼지</v>
      </c>
      <c r="D35">
        <v>1</v>
      </c>
      <c r="F35">
        <f>E35*D35</f>
        <v>0</v>
      </c>
      <c r="H35" t="e">
        <f>E35/G35</f>
        <v>#DIV/0!</v>
      </c>
      <c r="O35">
        <f>SUM(L35:N35)</f>
        <v>0</v>
      </c>
    </row>
    <row r="36">
      <c r="A36">
        <v>34</v>
      </c>
      <c r="C36" t="str">
        <v>부라보피스타치오</v>
      </c>
      <c r="E36">
        <v>23520</v>
      </c>
      <c r="F36">
        <f>E36*D36</f>
        <v>0</v>
      </c>
      <c r="G36">
        <v>24</v>
      </c>
      <c r="H36">
        <f>E36/G36</f>
        <v>980</v>
      </c>
      <c r="O36">
        <f>SUM(L36:N36)</f>
        <v>0</v>
      </c>
    </row>
    <row r="37">
      <c r="A37">
        <v>35</v>
      </c>
      <c r="C37" t="str">
        <v>더위사냥</v>
      </c>
      <c r="E37">
        <v>21000</v>
      </c>
      <c r="F37">
        <f>E37*D37</f>
        <v>0</v>
      </c>
      <c r="G37">
        <v>30</v>
      </c>
      <c r="H37">
        <f>E37/G37</f>
        <v>700</v>
      </c>
      <c r="O37">
        <f>SUM(L37:N37)</f>
        <v>0</v>
      </c>
    </row>
    <row r="38">
      <c r="A38">
        <v>36</v>
      </c>
      <c r="B38">
        <v>8</v>
      </c>
      <c r="C38" t="str">
        <v>거북이바</v>
      </c>
      <c r="D38">
        <v>1</v>
      </c>
      <c r="E38">
        <v>28000</v>
      </c>
      <c r="F38">
        <f>E38*D38</f>
        <v>28000</v>
      </c>
      <c r="G38">
        <v>40</v>
      </c>
      <c r="H38">
        <f>E38/G38</f>
        <v>700</v>
      </c>
      <c r="L38">
        <v>1</v>
      </c>
      <c r="O38">
        <f>SUM(L38:N38)</f>
        <v>1</v>
      </c>
    </row>
    <row r="39">
      <c r="A39">
        <v>37</v>
      </c>
      <c r="C39" t="str">
        <v>구구바</v>
      </c>
      <c r="E39">
        <v>28000</v>
      </c>
      <c r="F39">
        <f>E39*D39</f>
        <v>0</v>
      </c>
      <c r="G39">
        <v>40</v>
      </c>
      <c r="H39">
        <f>E39/G39</f>
        <v>700</v>
      </c>
      <c r="O39">
        <f>SUM(L39:N39)</f>
        <v>0</v>
      </c>
    </row>
    <row r="40">
      <c r="A40">
        <v>38</v>
      </c>
      <c r="C40" t="str">
        <v>시모나녹차</v>
      </c>
      <c r="D40">
        <v>1</v>
      </c>
      <c r="F40">
        <f>E40*D40</f>
        <v>0</v>
      </c>
      <c r="H40" t="e">
        <f>E40/G40</f>
        <v>#DIV/0!</v>
      </c>
      <c r="O40">
        <f>SUM(L40:N40)</f>
        <v>0</v>
      </c>
    </row>
    <row r="41">
      <c r="A41">
        <v>39</v>
      </c>
      <c r="B41">
        <v>11</v>
      </c>
      <c r="C41" t="str">
        <v>설레임밀크</v>
      </c>
      <c r="E41">
        <v>23520</v>
      </c>
      <c r="F41">
        <f>E41*D41</f>
        <v>0</v>
      </c>
      <c r="G41">
        <v>24</v>
      </c>
      <c r="H41">
        <f>E41/G41</f>
        <v>980</v>
      </c>
      <c r="K41">
        <v>1</v>
      </c>
      <c r="M41">
        <v>1</v>
      </c>
      <c r="O41">
        <f>SUM(L41:N41)</f>
        <v>1</v>
      </c>
    </row>
    <row r="42">
      <c r="A42">
        <v>40</v>
      </c>
      <c r="B42">
        <v>12</v>
      </c>
      <c r="C42" t="str">
        <v>설레임커피</v>
      </c>
      <c r="E42">
        <v>23520</v>
      </c>
      <c r="F42">
        <f>E42*D42</f>
        <v>0</v>
      </c>
      <c r="G42">
        <v>24</v>
      </c>
      <c r="H42">
        <f>E42/G42</f>
        <v>980</v>
      </c>
      <c r="K42">
        <v>1</v>
      </c>
      <c r="M42">
        <v>1</v>
      </c>
      <c r="O42">
        <f>SUM(L42:N42)</f>
        <v>1</v>
      </c>
    </row>
    <row r="43">
      <c r="A43">
        <v>41</v>
      </c>
      <c r="B43">
        <v>13</v>
      </c>
      <c r="C43" t="str">
        <v>설레임쿠앤크</v>
      </c>
      <c r="F43">
        <f>E43*D43</f>
        <v>0</v>
      </c>
      <c r="K43">
        <v>1</v>
      </c>
      <c r="O43">
        <f>SUM(L43:N43)</f>
        <v>0</v>
      </c>
    </row>
    <row r="44">
      <c r="A44">
        <v>42</v>
      </c>
      <c r="C44" t="str">
        <v>슈퍼콘민트</v>
      </c>
      <c r="F44">
        <f>E44*D44</f>
        <v>0</v>
      </c>
      <c r="O44">
        <f>SUM(L44:N44)</f>
        <v>0</v>
      </c>
    </row>
    <row r="45">
      <c r="A45">
        <v>43</v>
      </c>
      <c r="C45" t="str">
        <v>요맘때딸기콘</v>
      </c>
      <c r="F45">
        <f>E45*D45</f>
        <v>0</v>
      </c>
      <c r="O45">
        <f>SUM(L45:N45)</f>
        <v>0</v>
      </c>
    </row>
    <row r="46">
      <c r="A46">
        <v>44</v>
      </c>
      <c r="C46" t="str">
        <v>요맘때플레인콘</v>
      </c>
      <c r="F46">
        <f>E46*D46</f>
        <v>0</v>
      </c>
      <c r="O46">
        <f>SUM(L46:N46)</f>
        <v>0</v>
      </c>
    </row>
    <row r="47">
      <c r="A47">
        <v>45</v>
      </c>
      <c r="C47" t="str">
        <v>빵또아쿠앤크</v>
      </c>
      <c r="F47">
        <f>E47*D47</f>
        <v>0</v>
      </c>
      <c r="O47">
        <f>SUM(L47:N47)</f>
        <v>0</v>
      </c>
    </row>
    <row r="48">
      <c r="A48">
        <v>46</v>
      </c>
      <c r="B48">
        <v>14</v>
      </c>
      <c r="C48" t="str">
        <v>구구콘</v>
      </c>
      <c r="F48">
        <f>E48*D48</f>
        <v>0</v>
      </c>
      <c r="K48">
        <v>1</v>
      </c>
      <c r="L48">
        <v>1</v>
      </c>
      <c r="N48">
        <v>1</v>
      </c>
      <c r="O48">
        <f>SUM(L48:N48)</f>
        <v>2</v>
      </c>
    </row>
    <row r="49">
      <c r="A49">
        <v>47</v>
      </c>
      <c r="B49">
        <v>10</v>
      </c>
      <c r="C49" t="str">
        <v>티코</v>
      </c>
      <c r="F49">
        <f>E49*D49</f>
        <v>0</v>
      </c>
      <c r="L49">
        <v>1</v>
      </c>
      <c r="N49">
        <v>1</v>
      </c>
      <c r="O49">
        <f>SUM(L49:N49)</f>
        <v>2</v>
      </c>
    </row>
    <row r="50">
      <c r="A50">
        <v>48</v>
      </c>
      <c r="B50">
        <v>11</v>
      </c>
      <c r="C50" t="str">
        <v>해태] 찐 팥빙수</v>
      </c>
      <c r="D50">
        <v>1</v>
      </c>
      <c r="L50">
        <v>1</v>
      </c>
      <c r="O50">
        <f>SUM(L50:N50)</f>
        <v>1</v>
      </c>
    </row>
    <row r="51">
      <c r="A51">
        <v>49</v>
      </c>
      <c r="B51">
        <v>12</v>
      </c>
      <c r="C51" t="str">
        <v>팝콘 붕어 사만코</v>
      </c>
      <c r="L51">
        <v>1</v>
      </c>
      <c r="O51">
        <f>SUM(L51:N51)</f>
        <v>1</v>
      </c>
    </row>
    <row r="52">
      <c r="A52">
        <v>50</v>
      </c>
      <c r="B52">
        <v>13</v>
      </c>
      <c r="C52" t="str">
        <v>호두마루 바</v>
      </c>
      <c r="D52">
        <v>1</v>
      </c>
      <c r="L52">
        <v>1</v>
      </c>
      <c r="O52">
        <f>SUM(L52:N52)</f>
        <v>1</v>
      </c>
    </row>
    <row r="53">
      <c r="A53">
        <v>51</v>
      </c>
      <c r="B53">
        <v>14</v>
      </c>
      <c r="C53" t="str">
        <v>호두마루 컵</v>
      </c>
      <c r="L53">
        <v>1</v>
      </c>
      <c r="O53">
        <f>SUM(L53:N53)</f>
        <v>1</v>
      </c>
    </row>
    <row r="54">
      <c r="A54">
        <v>52</v>
      </c>
      <c r="C54" t="str">
        <v>생귤탱귤</v>
      </c>
    </row>
    <row r="55">
      <c r="A55">
        <v>53</v>
      </c>
      <c r="C55" t="str">
        <v>바밤바</v>
      </c>
      <c r="D55">
        <v>1</v>
      </c>
    </row>
  </sheetData>
  <autoFilter ref="A2:J55"/>
  <pageMargins left="0.7" right="0.7" top="0.75" bottom="0.75" header="0" footer="0"/>
  <ignoredErrors>
    <ignoredError numberStoredAsText="1" sqref="A1:O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Data>
    <row r="1">
      <c r="C1" t="str">
        <v>총</v>
      </c>
      <c r="D1">
        <f>SUBTOTAL(9,D3:D42)</f>
        <v>13</v>
      </c>
      <c r="F1">
        <f>SUBTOTAL(9,F3:F42)</f>
        <v>195300</v>
      </c>
    </row>
    <row r="2">
      <c r="A2" t="str">
        <v>순번</v>
      </c>
      <c r="B2" t="str">
        <v>발주 번호</v>
      </c>
      <c r="C2" t="str">
        <v>품명</v>
      </c>
      <c r="D2" t="str">
        <v>박스수량</v>
      </c>
      <c r="E2" t="str">
        <v>박스원가</v>
      </c>
      <c r="F2" t="str">
        <v>주문액</v>
      </c>
      <c r="G2" t="str">
        <v>박스입수</v>
      </c>
      <c r="H2" t="str">
        <v>개당원가</v>
      </c>
      <c r="I2" t="str">
        <v>판매가</v>
      </c>
      <c r="J2" t="str">
        <v>마진율</v>
      </c>
      <c r="K2" t="str">
        <v>발주 이력 260527</v>
      </c>
      <c r="L2" t="str">
        <v>발주 이력 260419</v>
      </c>
      <c r="M2" t="str">
        <v>발주 이력 251227</v>
      </c>
      <c r="N2" t="str">
        <v>발주 이력 251028</v>
      </c>
      <c r="O2" t="str">
        <v>합계</v>
      </c>
    </row>
    <row r="3">
      <c r="A3">
        <v>1</v>
      </c>
      <c r="B3">
        <v>1</v>
      </c>
      <c r="C3" t="str">
        <v>투게더 미니</v>
      </c>
      <c r="D3">
        <v>2</v>
      </c>
      <c r="E3">
        <v>15680</v>
      </c>
      <c r="F3">
        <f>E3*D3</f>
        <v>31360</v>
      </c>
      <c r="G3">
        <v>8</v>
      </c>
      <c r="H3">
        <f>E3/G3</f>
        <v>1960</v>
      </c>
      <c r="I3">
        <v>2800</v>
      </c>
      <c r="J3">
        <f>H3/I3</f>
        <v>0.7</v>
      </c>
      <c r="K3">
        <v>2</v>
      </c>
      <c r="L3">
        <v>2</v>
      </c>
      <c r="M3">
        <v>2</v>
      </c>
      <c r="N3">
        <v>1</v>
      </c>
      <c r="O3">
        <f>SUM(L3:N3)</f>
        <v>5</v>
      </c>
    </row>
    <row r="4">
      <c r="A4">
        <v>2</v>
      </c>
      <c r="B4">
        <v>2</v>
      </c>
      <c r="C4" t="str">
        <v>투게더그라시아 미니(쿠앤크)</v>
      </c>
      <c r="D4">
        <v>1</v>
      </c>
      <c r="E4">
        <v>15680</v>
      </c>
      <c r="F4">
        <f>E4*D4</f>
        <v>15680</v>
      </c>
      <c r="G4">
        <v>8</v>
      </c>
      <c r="H4">
        <f>E4/G4</f>
        <v>1960</v>
      </c>
      <c r="I4">
        <v>2800</v>
      </c>
      <c r="K4">
        <v>1</v>
      </c>
      <c r="L4">
        <v>2</v>
      </c>
      <c r="M4">
        <v>2</v>
      </c>
      <c r="N4">
        <v>1</v>
      </c>
      <c r="O4">
        <f>SUM(L4:N4)</f>
        <v>5</v>
      </c>
    </row>
    <row r="5">
      <c r="A5">
        <v>3</v>
      </c>
      <c r="B5">
        <v>3</v>
      </c>
      <c r="C5" t="str">
        <v>체리마루 컵</v>
      </c>
      <c r="H5" t="e">
        <f>E5/G5</f>
        <v>#DIV/0!</v>
      </c>
      <c r="N5">
        <v>1</v>
      </c>
      <c r="O5">
        <f>SUM(L5:N5)</f>
        <v>1</v>
      </c>
    </row>
    <row r="6">
      <c r="A6">
        <v>4</v>
      </c>
      <c r="B6">
        <v>4</v>
      </c>
      <c r="C6" t="str">
        <v>초코빵빠레</v>
      </c>
      <c r="E6">
        <v>14700</v>
      </c>
      <c r="F6">
        <f>E6*D6</f>
        <v>0</v>
      </c>
      <c r="G6">
        <v>15</v>
      </c>
      <c r="H6">
        <f>E6/G6</f>
        <v>980</v>
      </c>
      <c r="N6">
        <v>1</v>
      </c>
      <c r="O6">
        <f>SUM(L6:N6)</f>
        <v>1</v>
      </c>
    </row>
    <row r="7">
      <c r="A7">
        <v>5</v>
      </c>
      <c r="B7">
        <v>4</v>
      </c>
      <c r="C7" t="str">
        <v>바닐라빵빠레</v>
      </c>
      <c r="E7">
        <v>14700</v>
      </c>
      <c r="F7">
        <f>E7*D7</f>
        <v>0</v>
      </c>
      <c r="G7">
        <v>15</v>
      </c>
      <c r="H7">
        <f>E7/G7</f>
        <v>980</v>
      </c>
      <c r="O7">
        <f>SUM(L7:N7)</f>
        <v>0</v>
      </c>
    </row>
    <row r="8">
      <c r="A8">
        <v>6</v>
      </c>
      <c r="B8">
        <v>5</v>
      </c>
      <c r="C8" t="str">
        <v>더블비얀코</v>
      </c>
      <c r="E8">
        <v>14700</v>
      </c>
      <c r="F8">
        <f>E8*D8</f>
        <v>0</v>
      </c>
      <c r="G8">
        <v>15</v>
      </c>
      <c r="H8">
        <f>E8/G8</f>
        <v>980</v>
      </c>
      <c r="N8">
        <v>1</v>
      </c>
      <c r="O8">
        <f>SUM(L8:N8)</f>
        <v>1</v>
      </c>
    </row>
    <row r="9">
      <c r="A9">
        <v>7</v>
      </c>
      <c r="B9">
        <v>3</v>
      </c>
      <c r="C9" t="str">
        <v>와</v>
      </c>
      <c r="D9">
        <v>1</v>
      </c>
      <c r="E9">
        <v>13440</v>
      </c>
      <c r="F9">
        <f>E9*D9</f>
        <v>13440</v>
      </c>
      <c r="G9">
        <v>16</v>
      </c>
      <c r="H9">
        <f>E9/G9</f>
        <v>840</v>
      </c>
      <c r="K9">
        <v>1</v>
      </c>
      <c r="L9">
        <v>1</v>
      </c>
      <c r="M9">
        <v>2</v>
      </c>
      <c r="N9">
        <v>1</v>
      </c>
      <c r="O9">
        <f>SUM(L9:N9)</f>
        <v>4</v>
      </c>
    </row>
    <row r="10">
      <c r="A10">
        <v>8</v>
      </c>
      <c r="B10">
        <v>7</v>
      </c>
      <c r="C10" t="str">
        <v>월드콘</v>
      </c>
      <c r="E10">
        <v>23520</v>
      </c>
      <c r="F10">
        <f>E10*D10</f>
        <v>0</v>
      </c>
      <c r="G10">
        <v>24</v>
      </c>
      <c r="H10">
        <f>E10/G10</f>
        <v>980</v>
      </c>
      <c r="N10">
        <v>1</v>
      </c>
      <c r="O10">
        <f>SUM(L10:N10)</f>
        <v>1</v>
      </c>
    </row>
    <row r="11">
      <c r="A11">
        <v>9</v>
      </c>
      <c r="B11">
        <v>4</v>
      </c>
      <c r="C11" t="str">
        <v>부라보콘바닐라</v>
      </c>
      <c r="D11">
        <v>1</v>
      </c>
      <c r="F11">
        <f>E11*D11</f>
        <v>0</v>
      </c>
      <c r="H11" t="e">
        <f>E11/G11</f>
        <v>#DIV/0!</v>
      </c>
      <c r="K11">
        <v>1</v>
      </c>
      <c r="N11">
        <v>1</v>
      </c>
      <c r="O11">
        <f>SUM(L11:N11)</f>
        <v>1</v>
      </c>
    </row>
    <row r="12">
      <c r="A12">
        <v>10</v>
      </c>
      <c r="B12">
        <v>5</v>
      </c>
      <c r="C12" t="str">
        <v>슈퍼콘초코</v>
      </c>
      <c r="D12">
        <v>1</v>
      </c>
      <c r="E12">
        <v>14700</v>
      </c>
      <c r="F12">
        <f>E12*D12</f>
        <v>14700</v>
      </c>
      <c r="G12">
        <v>24</v>
      </c>
      <c r="H12">
        <f>E12/G12</f>
        <v>612.5</v>
      </c>
      <c r="K12">
        <v>1</v>
      </c>
      <c r="M12">
        <v>1</v>
      </c>
      <c r="N12">
        <v>1</v>
      </c>
      <c r="O12">
        <f>SUM(L12:N12)</f>
        <v>2</v>
      </c>
    </row>
    <row r="13">
      <c r="A13">
        <v>11</v>
      </c>
      <c r="B13">
        <v>9</v>
      </c>
      <c r="C13" t="str">
        <v>요맘때슈팅콘</v>
      </c>
      <c r="E13">
        <v>23520</v>
      </c>
      <c r="F13">
        <f>E13*D13</f>
        <v>0</v>
      </c>
      <c r="G13">
        <v>24</v>
      </c>
      <c r="H13">
        <f>E13/G13</f>
        <v>980</v>
      </c>
      <c r="I13">
        <v>1400</v>
      </c>
      <c r="O13">
        <f>SUM(L13:N13)</f>
        <v>0</v>
      </c>
    </row>
    <row r="14">
      <c r="A14">
        <v>12</v>
      </c>
      <c r="B14">
        <v>4</v>
      </c>
      <c r="C14" t="str">
        <v>돼지바</v>
      </c>
      <c r="F14">
        <f>E14*D14</f>
        <v>0</v>
      </c>
      <c r="H14" t="e">
        <f>E14/G14</f>
        <v>#DIV/0!</v>
      </c>
      <c r="L14">
        <v>1</v>
      </c>
      <c r="O14">
        <f>SUM(L14:N14)</f>
        <v>1</v>
      </c>
    </row>
    <row r="15">
      <c r="A15">
        <v>13</v>
      </c>
      <c r="B15">
        <v>6</v>
      </c>
      <c r="C15" t="str">
        <v>메로나</v>
      </c>
      <c r="D15">
        <v>1</v>
      </c>
      <c r="F15">
        <f>E15*D15</f>
        <v>0</v>
      </c>
      <c r="H15" t="e">
        <f>E15/G15</f>
        <v>#DIV/0!</v>
      </c>
      <c r="K15">
        <v>1</v>
      </c>
      <c r="N15">
        <v>1</v>
      </c>
      <c r="O15">
        <f>SUM(L15:N15)</f>
        <v>1</v>
      </c>
    </row>
    <row r="16">
      <c r="A16">
        <v>14</v>
      </c>
      <c r="B16">
        <v>11</v>
      </c>
      <c r="C16" t="str">
        <v>스크류바</v>
      </c>
      <c r="E16">
        <v>16800</v>
      </c>
      <c r="F16">
        <f>E16*D16</f>
        <v>0</v>
      </c>
      <c r="G16">
        <v>40</v>
      </c>
      <c r="H16">
        <f>E16/G16</f>
        <v>420</v>
      </c>
      <c r="N16">
        <v>1</v>
      </c>
      <c r="O16">
        <f>SUM(L16:N16)</f>
        <v>1</v>
      </c>
    </row>
    <row r="17">
      <c r="A17">
        <v>15</v>
      </c>
      <c r="B17">
        <v>11</v>
      </c>
      <c r="C17" t="str">
        <v>옥동자</v>
      </c>
      <c r="E17">
        <v>16800</v>
      </c>
      <c r="F17">
        <f>E17*D17</f>
        <v>0</v>
      </c>
      <c r="G17">
        <v>40</v>
      </c>
      <c r="H17">
        <f>E17/G17</f>
        <v>420</v>
      </c>
      <c r="O17">
        <f>SUM(L17:N17)</f>
        <v>0</v>
      </c>
    </row>
    <row r="18">
      <c r="A18">
        <v>16</v>
      </c>
      <c r="B18">
        <v>12</v>
      </c>
      <c r="C18" t="str">
        <v>체리마루홈</v>
      </c>
      <c r="F18">
        <f>E18*D18</f>
        <v>0</v>
      </c>
      <c r="H18" t="e">
        <f>E18/G18</f>
        <v>#DIV/0!</v>
      </c>
      <c r="O18">
        <f>SUM(L18:N18)</f>
        <v>0</v>
      </c>
    </row>
    <row r="19">
      <c r="A19">
        <v>17</v>
      </c>
      <c r="B19">
        <v>7</v>
      </c>
      <c r="C19" t="str">
        <v>떡붕어싸만코</v>
      </c>
      <c r="D19">
        <v>1</v>
      </c>
      <c r="E19">
        <v>29400</v>
      </c>
      <c r="F19">
        <f>E19*D19</f>
        <v>29400</v>
      </c>
      <c r="G19">
        <v>30</v>
      </c>
      <c r="H19">
        <f>E19/G19</f>
        <v>980</v>
      </c>
      <c r="K19">
        <v>1</v>
      </c>
      <c r="L19">
        <v>1</v>
      </c>
      <c r="M19">
        <v>1</v>
      </c>
      <c r="N19">
        <v>1</v>
      </c>
      <c r="O19">
        <f>SUM(L19:N19)</f>
        <v>3</v>
      </c>
    </row>
    <row r="20">
      <c r="A20">
        <v>18</v>
      </c>
      <c r="B20">
        <v>8</v>
      </c>
      <c r="C20" t="str">
        <v>빵또아</v>
      </c>
      <c r="D20">
        <v>1</v>
      </c>
      <c r="E20">
        <v>23520</v>
      </c>
      <c r="F20">
        <f>E20*D20</f>
        <v>23520</v>
      </c>
      <c r="G20">
        <v>24</v>
      </c>
      <c r="H20">
        <f>E20/G20</f>
        <v>980</v>
      </c>
      <c r="K20">
        <v>1</v>
      </c>
      <c r="N20">
        <v>1</v>
      </c>
      <c r="O20">
        <f>SUM(L20:N20)</f>
        <v>1</v>
      </c>
    </row>
    <row r="21">
      <c r="A21">
        <v>19</v>
      </c>
      <c r="B21">
        <v>9</v>
      </c>
      <c r="C21" t="str">
        <v>쿠키오</v>
      </c>
      <c r="D21">
        <v>1</v>
      </c>
      <c r="E21">
        <v>20160</v>
      </c>
      <c r="F21">
        <f>E21*D21</f>
        <v>20160</v>
      </c>
      <c r="G21">
        <v>24</v>
      </c>
      <c r="H21">
        <f>E21/G21</f>
        <v>840</v>
      </c>
      <c r="K21">
        <v>1</v>
      </c>
      <c r="L21">
        <v>1</v>
      </c>
      <c r="M21">
        <v>1</v>
      </c>
      <c r="O21">
        <f>SUM(L21:N21)</f>
        <v>2</v>
      </c>
    </row>
    <row r="22">
      <c r="A22">
        <v>20</v>
      </c>
      <c r="C22" t="str">
        <v>탱크보이</v>
      </c>
      <c r="E22">
        <v>19600</v>
      </c>
      <c r="F22">
        <f>E22*D22</f>
        <v>0</v>
      </c>
      <c r="G22">
        <v>35</v>
      </c>
      <c r="H22">
        <f>E22/G22</f>
        <v>560</v>
      </c>
      <c r="M22">
        <v>1</v>
      </c>
      <c r="O22">
        <f>SUM(L22:N22)</f>
        <v>1</v>
      </c>
    </row>
    <row r="23">
      <c r="A23">
        <v>21</v>
      </c>
      <c r="B23">
        <v>14</v>
      </c>
      <c r="C23" t="str">
        <v>주물럭콜라</v>
      </c>
      <c r="F23">
        <f>E23*D23</f>
        <v>0</v>
      </c>
      <c r="H23" t="e">
        <f>E23/G23</f>
        <v>#DIV/0!</v>
      </c>
      <c r="O23">
        <f>SUM(L23:N23)</f>
        <v>0</v>
      </c>
    </row>
    <row r="24">
      <c r="A24">
        <v>22</v>
      </c>
      <c r="B24">
        <v>14</v>
      </c>
      <c r="C24" t="str">
        <v>빠삐코 초코</v>
      </c>
      <c r="E24">
        <v>19600</v>
      </c>
      <c r="F24">
        <f>E24*D24</f>
        <v>0</v>
      </c>
      <c r="G24">
        <v>35</v>
      </c>
      <c r="H24">
        <f>E24/G24</f>
        <v>560</v>
      </c>
      <c r="N24">
        <v>1</v>
      </c>
      <c r="O24">
        <f>SUM(L24:N24)</f>
        <v>1</v>
      </c>
    </row>
    <row r="25">
      <c r="A25">
        <v>23</v>
      </c>
      <c r="B25">
        <v>15</v>
      </c>
      <c r="C25" t="str">
        <v>엑설런트</v>
      </c>
      <c r="E25">
        <v>39200</v>
      </c>
      <c r="F25">
        <f>E25*D25</f>
        <v>0</v>
      </c>
      <c r="G25">
        <v>8</v>
      </c>
      <c r="H25">
        <f>E25/G25</f>
        <v>4900</v>
      </c>
      <c r="M25">
        <v>1</v>
      </c>
      <c r="O25">
        <f>SUM(L25:N25)</f>
        <v>1</v>
      </c>
    </row>
    <row r="26">
      <c r="A26">
        <v>24</v>
      </c>
      <c r="C26" t="str">
        <v>누가바</v>
      </c>
      <c r="F26">
        <f>E26*D26</f>
        <v>0</v>
      </c>
      <c r="H26" t="e">
        <f>E26/G26</f>
        <v>#DIV/0!</v>
      </c>
      <c r="O26">
        <f>SUM(L26:N26)</f>
        <v>0</v>
      </c>
    </row>
    <row r="27">
      <c r="A27">
        <v>25</v>
      </c>
      <c r="B27">
        <v>7</v>
      </c>
      <c r="C27" t="str">
        <v>구구크러스터</v>
      </c>
      <c r="F27">
        <f>E27*D27</f>
        <v>0</v>
      </c>
      <c r="H27" t="e">
        <f>E27/G27</f>
        <v>#DIV/0!</v>
      </c>
      <c r="L27">
        <v>1</v>
      </c>
      <c r="O27">
        <f>SUM(L27:N27)</f>
        <v>1</v>
      </c>
    </row>
    <row r="28">
      <c r="A28">
        <v>26</v>
      </c>
      <c r="C28" t="str">
        <v>쌍쌍바</v>
      </c>
      <c r="F28">
        <f>E28*D28</f>
        <v>0</v>
      </c>
      <c r="H28" t="e">
        <f>E28/G28</f>
        <v>#DIV/0!</v>
      </c>
      <c r="O28">
        <f>SUM(L28:N28)</f>
        <v>0</v>
      </c>
    </row>
    <row r="29">
      <c r="A29">
        <v>27</v>
      </c>
      <c r="B29">
        <v>10</v>
      </c>
      <c r="C29" t="str">
        <v>아맛나</v>
      </c>
      <c r="D29">
        <v>1</v>
      </c>
      <c r="F29">
        <f>E29*D29</f>
        <v>0</v>
      </c>
      <c r="H29" t="e">
        <f>E29/G29</f>
        <v>#DIV/0!</v>
      </c>
      <c r="K29">
        <v>1</v>
      </c>
      <c r="O29">
        <f>SUM(L29:N29)</f>
        <v>0</v>
      </c>
    </row>
    <row r="30">
      <c r="A30">
        <v>28</v>
      </c>
      <c r="B30">
        <v>17</v>
      </c>
      <c r="C30" t="str">
        <v>요맘때바</v>
      </c>
      <c r="E30">
        <v>17280</v>
      </c>
      <c r="F30">
        <f>E30*D30</f>
        <v>0</v>
      </c>
      <c r="G30">
        <v>40</v>
      </c>
      <c r="H30">
        <f>E30/G30</f>
        <v>432</v>
      </c>
      <c r="I30">
        <v>1200</v>
      </c>
      <c r="O30">
        <f>SUM(L30:N30)</f>
        <v>0</v>
      </c>
    </row>
    <row r="31">
      <c r="A31">
        <v>29</v>
      </c>
      <c r="C31" t="str">
        <v>죠스바</v>
      </c>
      <c r="E31">
        <v>16800</v>
      </c>
      <c r="F31">
        <f>E31*D31</f>
        <v>0</v>
      </c>
      <c r="G31">
        <v>40</v>
      </c>
      <c r="H31">
        <f>E31/G31</f>
        <v>420</v>
      </c>
      <c r="M31">
        <v>1</v>
      </c>
      <c r="O31">
        <f>SUM(L31:N31)</f>
        <v>1</v>
      </c>
    </row>
    <row r="32">
      <c r="A32">
        <v>30</v>
      </c>
      <c r="B32">
        <v>18</v>
      </c>
      <c r="C32" t="str">
        <v>와일드바디</v>
      </c>
      <c r="E32">
        <v>16800</v>
      </c>
      <c r="F32">
        <f>E32*D32</f>
        <v>0</v>
      </c>
      <c r="G32">
        <v>40</v>
      </c>
      <c r="H32">
        <f>E32/G32</f>
        <v>420</v>
      </c>
      <c r="O32">
        <f>SUM(L32:N32)</f>
        <v>0</v>
      </c>
    </row>
    <row r="33">
      <c r="A33">
        <v>31</v>
      </c>
      <c r="B33">
        <v>19</v>
      </c>
      <c r="C33" t="str">
        <v>수박바</v>
      </c>
      <c r="F33">
        <f>E33*D33</f>
        <v>0</v>
      </c>
      <c r="H33" t="e">
        <f>E33/G33</f>
        <v>#DIV/0!</v>
      </c>
      <c r="O33">
        <f>SUM(L33:N33)</f>
        <v>0</v>
      </c>
    </row>
    <row r="34">
      <c r="A34">
        <v>32</v>
      </c>
      <c r="B34">
        <v>15</v>
      </c>
      <c r="C34" t="str">
        <v>비비빅</v>
      </c>
      <c r="F34">
        <f>E34*D34</f>
        <v>0</v>
      </c>
      <c r="H34" t="e">
        <f>E34/G34</f>
        <v>#DIV/0!</v>
      </c>
      <c r="N34">
        <v>1</v>
      </c>
      <c r="O34">
        <f>SUM(L34:N34)</f>
        <v>1</v>
      </c>
    </row>
    <row r="35">
      <c r="A35">
        <v>33</v>
      </c>
      <c r="C35" t="str">
        <v>초코퍼지</v>
      </c>
      <c r="F35">
        <f>E35*D35</f>
        <v>0</v>
      </c>
      <c r="H35" t="e">
        <f>E35/G35</f>
        <v>#DIV/0!</v>
      </c>
      <c r="O35">
        <f>SUM(L35:N35)</f>
        <v>0</v>
      </c>
    </row>
    <row r="36">
      <c r="A36">
        <v>34</v>
      </c>
      <c r="C36" t="str">
        <v>부라보피스타치오</v>
      </c>
      <c r="E36">
        <v>23520</v>
      </c>
      <c r="F36">
        <f>E36*D36</f>
        <v>0</v>
      </c>
      <c r="G36">
        <v>24</v>
      </c>
      <c r="H36">
        <f>E36/G36</f>
        <v>980</v>
      </c>
      <c r="O36">
        <f>SUM(L36:N36)</f>
        <v>0</v>
      </c>
    </row>
    <row r="37">
      <c r="A37">
        <v>35</v>
      </c>
      <c r="C37" t="str">
        <v>더위사냥</v>
      </c>
      <c r="E37">
        <v>21000</v>
      </c>
      <c r="F37">
        <f>E37*D37</f>
        <v>0</v>
      </c>
      <c r="G37">
        <v>30</v>
      </c>
      <c r="H37">
        <f>E37/G37</f>
        <v>700</v>
      </c>
      <c r="O37">
        <f>SUM(L37:N37)</f>
        <v>0</v>
      </c>
    </row>
    <row r="38">
      <c r="A38">
        <v>36</v>
      </c>
      <c r="B38">
        <v>8</v>
      </c>
      <c r="C38" t="str">
        <v>거북이바</v>
      </c>
      <c r="E38">
        <v>28000</v>
      </c>
      <c r="F38">
        <f>E38*D38</f>
        <v>0</v>
      </c>
      <c r="G38">
        <v>40</v>
      </c>
      <c r="H38">
        <f>E38/G38</f>
        <v>700</v>
      </c>
      <c r="L38">
        <v>1</v>
      </c>
      <c r="O38">
        <f>SUM(L38:N38)</f>
        <v>1</v>
      </c>
    </row>
    <row r="39">
      <c r="A39">
        <v>37</v>
      </c>
      <c r="C39" t="str">
        <v>구구바</v>
      </c>
      <c r="E39">
        <v>28000</v>
      </c>
      <c r="F39">
        <f>E39*D39</f>
        <v>0</v>
      </c>
      <c r="G39">
        <v>40</v>
      </c>
      <c r="H39">
        <f>E39/G39</f>
        <v>700</v>
      </c>
      <c r="O39">
        <f>SUM(L39:N39)</f>
        <v>0</v>
      </c>
    </row>
    <row r="40">
      <c r="A40">
        <v>38</v>
      </c>
      <c r="C40" t="str">
        <v>시모나녹차</v>
      </c>
      <c r="F40">
        <f>E40*D40</f>
        <v>0</v>
      </c>
      <c r="H40" t="e">
        <f>E40/G40</f>
        <v>#DIV/0!</v>
      </c>
      <c r="O40">
        <f>SUM(L40:N40)</f>
        <v>0</v>
      </c>
    </row>
    <row r="41">
      <c r="A41">
        <v>39</v>
      </c>
      <c r="B41">
        <v>11</v>
      </c>
      <c r="C41" t="str">
        <v>설레임밀크</v>
      </c>
      <c r="D41">
        <v>1</v>
      </c>
      <c r="E41">
        <v>23520</v>
      </c>
      <c r="F41">
        <f>E41*D41</f>
        <v>23520</v>
      </c>
      <c r="G41">
        <v>24</v>
      </c>
      <c r="H41">
        <f>E41/G41</f>
        <v>980</v>
      </c>
      <c r="K41">
        <v>1</v>
      </c>
      <c r="M41">
        <v>1</v>
      </c>
      <c r="O41">
        <f>SUM(L41:N41)</f>
        <v>1</v>
      </c>
    </row>
    <row r="42">
      <c r="A42">
        <v>40</v>
      </c>
      <c r="B42">
        <v>12</v>
      </c>
      <c r="C42" t="str">
        <v>설레임커피</v>
      </c>
      <c r="D42">
        <v>1</v>
      </c>
      <c r="E42">
        <v>23520</v>
      </c>
      <c r="F42">
        <f>E42*D42</f>
        <v>23520</v>
      </c>
      <c r="G42">
        <v>24</v>
      </c>
      <c r="H42">
        <f>E42/G42</f>
        <v>980</v>
      </c>
      <c r="K42">
        <v>1</v>
      </c>
      <c r="M42">
        <v>1</v>
      </c>
      <c r="O42">
        <f>SUM(L42:N42)</f>
        <v>1</v>
      </c>
    </row>
    <row r="43">
      <c r="A43">
        <v>41</v>
      </c>
      <c r="B43">
        <v>13</v>
      </c>
      <c r="C43" t="str">
        <v>설레임쿠앤크</v>
      </c>
      <c r="D43">
        <v>1</v>
      </c>
      <c r="F43">
        <f>E43*D43</f>
        <v>0</v>
      </c>
      <c r="K43">
        <v>1</v>
      </c>
      <c r="O43">
        <f>SUM(L43:N43)</f>
        <v>0</v>
      </c>
    </row>
    <row r="44">
      <c r="A44">
        <v>42</v>
      </c>
      <c r="C44" t="str">
        <v>슈퍼콘민트</v>
      </c>
      <c r="F44">
        <f>E44*D44</f>
        <v>0</v>
      </c>
      <c r="O44">
        <f>SUM(L44:N44)</f>
        <v>0</v>
      </c>
    </row>
    <row r="45">
      <c r="A45">
        <v>43</v>
      </c>
      <c r="C45" t="str">
        <v>요맘때딸기콘</v>
      </c>
      <c r="F45">
        <f>E45*D45</f>
        <v>0</v>
      </c>
      <c r="O45">
        <f>SUM(L45:N45)</f>
        <v>0</v>
      </c>
    </row>
    <row r="46">
      <c r="A46">
        <v>44</v>
      </c>
      <c r="C46" t="str">
        <v>요맘때플레인콘</v>
      </c>
      <c r="F46">
        <f>E46*D46</f>
        <v>0</v>
      </c>
      <c r="O46">
        <f>SUM(L46:N46)</f>
        <v>0</v>
      </c>
    </row>
    <row r="47">
      <c r="A47">
        <v>45</v>
      </c>
      <c r="C47" t="str">
        <v>빵또아쿠앤크</v>
      </c>
      <c r="F47">
        <f>E47*D47</f>
        <v>0</v>
      </c>
      <c r="O47">
        <f>SUM(L47:N47)</f>
        <v>0</v>
      </c>
    </row>
    <row r="48">
      <c r="A48">
        <v>46</v>
      </c>
      <c r="B48">
        <v>14</v>
      </c>
      <c r="C48" t="str">
        <v>구구콘</v>
      </c>
      <c r="D48">
        <v>1</v>
      </c>
      <c r="F48">
        <f>E48*D48</f>
        <v>0</v>
      </c>
      <c r="K48">
        <v>1</v>
      </c>
      <c r="L48">
        <v>1</v>
      </c>
      <c r="N48">
        <v>1</v>
      </c>
      <c r="O48">
        <f>SUM(L48:N48)</f>
        <v>2</v>
      </c>
    </row>
    <row r="49">
      <c r="A49">
        <v>47</v>
      </c>
      <c r="B49">
        <v>10</v>
      </c>
      <c r="C49" t="str">
        <v>티코</v>
      </c>
      <c r="F49">
        <f>E49*D49</f>
        <v>0</v>
      </c>
      <c r="L49">
        <v>1</v>
      </c>
      <c r="N49">
        <v>1</v>
      </c>
      <c r="O49">
        <f>SUM(L49:N49)</f>
        <v>2</v>
      </c>
    </row>
    <row r="50">
      <c r="A50">
        <v>48</v>
      </c>
      <c r="B50">
        <v>11</v>
      </c>
      <c r="C50" t="str">
        <v>해태] 찐 팥빙수</v>
      </c>
      <c r="L50">
        <v>1</v>
      </c>
      <c r="O50">
        <f>SUM(L50:N50)</f>
        <v>1</v>
      </c>
    </row>
    <row r="51">
      <c r="A51">
        <v>49</v>
      </c>
      <c r="B51">
        <v>12</v>
      </c>
      <c r="C51" t="str">
        <v>팝콘 붕어 사만코</v>
      </c>
      <c r="L51">
        <v>1</v>
      </c>
      <c r="O51">
        <f>SUM(L51:N51)</f>
        <v>1</v>
      </c>
    </row>
    <row r="52">
      <c r="A52">
        <v>50</v>
      </c>
      <c r="B52">
        <v>13</v>
      </c>
      <c r="C52" t="str">
        <v>호두마루 바</v>
      </c>
      <c r="L52">
        <v>1</v>
      </c>
      <c r="O52">
        <f>SUM(L52:N52)</f>
        <v>1</v>
      </c>
    </row>
    <row r="53">
      <c r="A53">
        <v>51</v>
      </c>
      <c r="B53">
        <v>14</v>
      </c>
      <c r="C53" t="str">
        <v>호두마루 컵</v>
      </c>
      <c r="L53">
        <v>1</v>
      </c>
      <c r="O53">
        <f>SUM(L53:N53)</f>
        <v>1</v>
      </c>
    </row>
    <row r="54">
      <c r="A54">
        <v>52</v>
      </c>
      <c r="C54" t="str">
        <v>생귤탱귤</v>
      </c>
    </row>
    <row r="55">
      <c r="A55">
        <v>53</v>
      </c>
      <c r="C55" t="str">
        <v>바밤바</v>
      </c>
    </row>
  </sheetData>
  <autoFilter ref="A2:J55"/>
  <pageMargins left="0.7" right="0.7" top="0.75" bottom="0.75" header="0" footer="0"/>
  <ignoredErrors>
    <ignoredError numberStoredAsText="1" sqref="A1:O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B2:E35"/>
  <sheetViews>
    <sheetView workbookViewId="0"/>
  </sheetViews>
  <sheetData>
    <row r="2">
      <c r="B2" t="str">
        <v>롯데 삼강</v>
      </c>
      <c r="C2" t="str">
        <v>롯데</v>
      </c>
      <c r="D2" t="str">
        <v>빙그레</v>
      </c>
      <c r="E2" t="str">
        <v>해태</v>
      </c>
    </row>
    <row r="3">
      <c r="B3" t="str">
        <v>거북알초코</v>
      </c>
      <c r="C3" t="str">
        <v>주물러콜라, 소다</v>
      </c>
      <c r="D3" t="str">
        <v>더위사냥, 제로</v>
      </c>
      <c r="E3" t="str">
        <v>폴라포(포도)</v>
      </c>
    </row>
    <row r="4">
      <c r="B4" t="str">
        <v>빠삐코초코</v>
      </c>
      <c r="C4" t="str">
        <v>와편술, 엔젤커피</v>
      </c>
      <c r="D4" t="str">
        <v>뽕따</v>
      </c>
      <c r="E4" t="str">
        <v>폴라스포츠, 제로</v>
      </c>
    </row>
    <row r="5">
      <c r="B5" t="str">
        <v>청포도펜슬</v>
      </c>
      <c r="C5" t="str">
        <v>빙빙바</v>
      </c>
      <c r="D5" t="str">
        <v>파워캡, 블루</v>
      </c>
      <c r="E5" t="str">
        <v>폴라피치, 요구</v>
      </c>
    </row>
    <row r="6">
      <c r="B6" t="str">
        <v>멜론오렌지, 청포</v>
      </c>
      <c r="C6" t="str">
        <v>와일드</v>
      </c>
      <c r="D6" t="str">
        <v>비비빅</v>
      </c>
      <c r="E6" t="str">
        <v>탱크보이, 제로</v>
      </c>
    </row>
    <row r="7">
      <c r="B7" t="str">
        <v>보석바</v>
      </c>
      <c r="C7" t="str">
        <v>메가톤</v>
      </c>
      <c r="D7" t="str">
        <v>메로나</v>
      </c>
      <c r="E7" t="str">
        <v>탱크키위, 토마</v>
      </c>
    </row>
    <row r="8">
      <c r="B8" t="str">
        <v>아맛나</v>
      </c>
      <c r="C8" t="str">
        <v>옥동자</v>
      </c>
      <c r="D8" t="str">
        <v>메로나바, 망고</v>
      </c>
      <c r="E8" t="str">
        <v>젤루감귤, 청포</v>
      </c>
    </row>
    <row r="9">
      <c r="B9" t="str">
        <v>돼지바</v>
      </c>
      <c r="C9" t="str">
        <v>죠스바</v>
      </c>
      <c r="D9" t="str">
        <v>요맘때(플레인)</v>
      </c>
      <c r="E9" t="str">
        <v>누가바골드</v>
      </c>
    </row>
    <row r="10">
      <c r="B10" t="str">
        <v>돼지블랙</v>
      </c>
      <c r="C10" t="str">
        <v>수박바</v>
      </c>
      <c r="D10" t="str">
        <v>요맘때(딸기)</v>
      </c>
      <c r="E10" t="str">
        <v>누가피스, 피넛</v>
      </c>
    </row>
    <row r="11">
      <c r="B11" t="str">
        <v>초코퍼지, 크런치</v>
      </c>
      <c r="C11" t="str">
        <v>스크류바</v>
      </c>
      <c r="D11" t="str">
        <v>요맘때복숭아, 블루</v>
      </c>
      <c r="E11" t="str">
        <v>바밤바골드</v>
      </c>
    </row>
    <row r="12">
      <c r="B12" t="str">
        <v>테트리스바</v>
      </c>
      <c r="C12" t="str">
        <v>누크바</v>
      </c>
      <c r="D12" t="str">
        <v>쿠앤크바</v>
      </c>
      <c r="E12" t="str">
        <v>쌍쌍바, 바닐라</v>
      </c>
    </row>
    <row r="13">
      <c r="B13" t="str">
        <v>와삭바</v>
      </c>
      <c r="C13" t="str">
        <v>순수밀크</v>
      </c>
      <c r="D13" t="str">
        <v>쿠앤크말차, 티라</v>
      </c>
      <c r="E13" t="str">
        <v>호두마루골드</v>
      </c>
    </row>
    <row r="14">
      <c r="B14" t="str">
        <v>망고바</v>
      </c>
      <c r="C14" t="str">
        <v>옥동자딸기</v>
      </c>
      <c r="D14" t="str">
        <v>까페오레</v>
      </c>
      <c r="E14" t="str">
        <v>녹차바, 체리바</v>
      </c>
    </row>
    <row r="15">
      <c r="B15" t="str">
        <v>청포도바</v>
      </c>
      <c r="C15" t="str">
        <v>제로스, 죠스, 수</v>
      </c>
      <c r="D15" t="str">
        <v>생귤탱귤, 제로</v>
      </c>
      <c r="E15" t="str">
        <v>인절미, 아사히</v>
      </c>
    </row>
    <row r="16">
      <c r="B16" t="str">
        <v>별난바</v>
      </c>
      <c r="C16" t="str">
        <v>조이바그, 카, 망</v>
      </c>
      <c r="D16" t="str">
        <v>캔디바, 메론</v>
      </c>
      <c r="E16" t="str">
        <v>쿨블루, 피나콜</v>
      </c>
    </row>
    <row r="17">
      <c r="B17" t="str">
        <v>키위바, 빵빠메론</v>
      </c>
      <c r="C17" t="str">
        <v>월드콘, 딸기</v>
      </c>
      <c r="D17" t="str">
        <v>카카오무, 라, 어</v>
      </c>
      <c r="E17" t="str">
        <v>모히또, 솜사탕</v>
      </c>
    </row>
    <row r="18">
      <c r="B18" t="str">
        <v>빵빠바, 초, 딸기</v>
      </c>
      <c r="C18" t="str">
        <v>월드쿠키, 초코</v>
      </c>
      <c r="D18" t="str">
        <v>요맘때슈팅, 허니</v>
      </c>
      <c r="E18" t="str">
        <v>자두바, 천혜향</v>
      </c>
    </row>
    <row r="19">
      <c r="B19" t="str">
        <v>델애플, 페어</v>
      </c>
      <c r="C19" t="str">
        <v>그릭콘, 엔젤커피</v>
      </c>
      <c r="D19" t="str">
        <v>요맘때레인, 블루</v>
      </c>
      <c r="E19" t="str">
        <v>부라보바닐라, 저당</v>
      </c>
    </row>
    <row r="20">
      <c r="B20" t="str">
        <v>인절미, 앙꼬바</v>
      </c>
      <c r="C20" t="str">
        <v>설레임(밀크)</v>
      </c>
      <c r="D20" t="str">
        <v>요맘때콘, 딸기</v>
      </c>
      <c r="E20" t="str">
        <v>부라보(초코)</v>
      </c>
    </row>
    <row r="21">
      <c r="B21" t="str">
        <v>본젤녹차, 딸기</v>
      </c>
      <c r="C21" t="str">
        <v>설레임쿠키, 커피</v>
      </c>
      <c r="D21" t="str">
        <v>슈퍼쿠앤, 호두</v>
      </c>
      <c r="E21" t="str">
        <v>부라보(피스)</v>
      </c>
    </row>
    <row r="22">
      <c r="B22" t="str">
        <v>구구바</v>
      </c>
      <c r="C22" t="str">
        <v>더블비안코</v>
      </c>
      <c r="D22" t="str">
        <v>슈퍼민트, 초코</v>
      </c>
      <c r="E22" t="str">
        <v>부라보(우유)</v>
      </c>
    </row>
    <row r="23">
      <c r="B23" t="str">
        <v>돼지저당, 거북이</v>
      </c>
      <c r="C23" t="str">
        <v>더블베리</v>
      </c>
      <c r="D23" t="str">
        <v>떡붕어싸만코</v>
      </c>
      <c r="E23" t="str">
        <v>부라보(딸기)</v>
      </c>
    </row>
    <row r="24">
      <c r="B24" t="str">
        <v>빵빠레(컵)</v>
      </c>
      <c r="C24" t="str">
        <v>와 바닐라</v>
      </c>
      <c r="D24" t="str">
        <v>붕어슈크림, 팝콘</v>
      </c>
      <c r="E24" t="str">
        <v>시모나, 꿀호떡</v>
      </c>
    </row>
    <row r="25">
      <c r="B25" t="str">
        <v>빵빠레(바)</v>
      </c>
      <c r="C25" t="str">
        <v>와 사과, 소다</v>
      </c>
      <c r="D25" t="str">
        <v>초코, 호두붕어</v>
      </c>
      <c r="E25" t="str">
        <v>바밤바샌드, 치즈</v>
      </c>
    </row>
    <row r="26">
      <c r="B26" t="str">
        <v>구구콘</v>
      </c>
      <c r="C26" t="str">
        <v>찰떡아이스, 쿠키</v>
      </c>
      <c r="D26" t="str">
        <v>빵또아</v>
      </c>
      <c r="E26" t="str">
        <v>커피, 녹차샌드</v>
      </c>
    </row>
    <row r="27">
      <c r="B27" t="str">
        <v>돼지콘, 블랙</v>
      </c>
      <c r="C27" t="str">
        <v>옥수수</v>
      </c>
      <c r="D27" t="str">
        <v>빵또고구마, 치즈</v>
      </c>
      <c r="E27" t="str">
        <v>냠냠</v>
      </c>
    </row>
    <row r="28">
      <c r="B28" t="str">
        <v>대룡대룡</v>
      </c>
      <c r="C28" t="str">
        <v>옥동샌드, 와플</v>
      </c>
      <c r="D28" t="str">
        <v>빵또티라, 인절</v>
      </c>
      <c r="E28" t="str">
        <v>구슬레인, 키위</v>
      </c>
    </row>
    <row r="29">
      <c r="B29" t="str">
        <v>국화빵</v>
      </c>
      <c r="C29" t="str">
        <v>팥빙수</v>
      </c>
      <c r="D29" t="str">
        <v>왕실끼리, 애플</v>
      </c>
      <c r="E29" t="str">
        <v>로우바닐, 딸기</v>
      </c>
    </row>
    <row r="30">
      <c r="B30" t="str">
        <v>쿠키오</v>
      </c>
      <c r="C30" t="str">
        <v>색고드름</v>
      </c>
      <c r="D30" t="str">
        <v>따옴팩딸기, 파인</v>
      </c>
      <c r="E30" t="str">
        <v>아이스가이, 제로</v>
      </c>
    </row>
    <row r="31">
      <c r="B31" t="str">
        <v>파스퇴르샌드, 홈</v>
      </c>
      <c r="C31" t="str">
        <v>제로샌드, 말차</v>
      </c>
      <c r="D31" t="str">
        <v>엑설런, 쿠앤크콘</v>
      </c>
      <c r="E31" t="str">
        <v>아스레몬, 청포</v>
      </c>
    </row>
    <row r="32">
      <c r="B32" t="str">
        <v>허쉬바</v>
      </c>
      <c r="C32" t="str">
        <v>제로바쿠키, 초코</v>
      </c>
      <c r="D32" t="str">
        <v>파르페, 체리</v>
      </c>
      <c r="E32" t="str">
        <v>포도꿀</v>
      </c>
    </row>
    <row r="33">
      <c r="B33" t="str">
        <v>부여밤아이스</v>
      </c>
      <c r="C33" t="str">
        <v>제로티코, 제로콘</v>
      </c>
      <c r="D33" t="str">
        <v>18딥커피, 크런치</v>
      </c>
      <c r="E33" t="str">
        <v>해태빙수, 인절미</v>
      </c>
    </row>
    <row r="34">
      <c r="C34" t="str">
        <v>제로홈초코, 쿠키</v>
      </c>
      <c r="D34" t="str">
        <v>18딥메론, 바닐</v>
      </c>
      <c r="E34" t="str">
        <v>석빙고</v>
      </c>
    </row>
    <row r="35">
      <c r="C35" t="str">
        <v>월드저당, 설레임</v>
      </c>
      <c r="D35" t="str">
        <v>딸기빙수, 빙수</v>
      </c>
      <c r="E35" t="str">
        <v>얼음컵, 깐도리</v>
      </c>
    </row>
  </sheetData>
  <pageMargins left="0.7" right="0.7" top="0.75" bottom="0.75" header="0.3" footer="0.3"/>
  <ignoredErrors>
    <ignoredError numberStoredAsText="1" sqref="B2:E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53"/>
  <sheetViews>
    <sheetView workbookViewId="0"/>
  </sheetViews>
  <sheetData>
    <row r="1">
      <c r="C1" t="str">
        <v>총</v>
      </c>
      <c r="D1">
        <f>SUBTOTAL(9,D3:D42)</f>
        <v>10</v>
      </c>
      <c r="F1">
        <f>SUBTOTAL(9,F3:F42)</f>
        <v>153720</v>
      </c>
    </row>
    <row r="2">
      <c r="A2" t="str">
        <v>순번</v>
      </c>
      <c r="C2" t="str">
        <v>품명</v>
      </c>
      <c r="D2" t="str">
        <v>박스수량</v>
      </c>
      <c r="E2" t="str">
        <v>박스원가</v>
      </c>
      <c r="F2" t="str">
        <v>주문액</v>
      </c>
      <c r="G2" t="str">
        <v>박스입수</v>
      </c>
      <c r="H2" t="str">
        <v>개당원가</v>
      </c>
      <c r="I2" t="str">
        <v>판매가</v>
      </c>
      <c r="J2" t="str">
        <v>마진율</v>
      </c>
      <c r="L2">
        <v>251227</v>
      </c>
      <c r="M2">
        <v>251028</v>
      </c>
      <c r="N2" t="str">
        <v>합계</v>
      </c>
    </row>
    <row r="3">
      <c r="A3">
        <v>1</v>
      </c>
      <c r="B3">
        <v>1</v>
      </c>
      <c r="C3" t="str">
        <v>투게더 미니</v>
      </c>
      <c r="D3">
        <v>2</v>
      </c>
      <c r="E3">
        <v>15680</v>
      </c>
      <c r="F3">
        <f>E3*D3</f>
        <v>31360</v>
      </c>
      <c r="G3">
        <v>8</v>
      </c>
      <c r="H3">
        <f>E3/G3</f>
        <v>1960</v>
      </c>
      <c r="I3">
        <v>2800</v>
      </c>
      <c r="J3">
        <f>H3/I3</f>
        <v>0.7</v>
      </c>
      <c r="L3">
        <v>2</v>
      </c>
      <c r="M3">
        <v>1</v>
      </c>
      <c r="N3">
        <f>M3+L3</f>
        <v>3</v>
      </c>
    </row>
    <row r="4">
      <c r="A4">
        <v>2</v>
      </c>
      <c r="B4">
        <v>2</v>
      </c>
      <c r="C4" t="str">
        <v>투게더그라시아 미니(쿠앤크)</v>
      </c>
      <c r="D4">
        <v>2</v>
      </c>
      <c r="E4">
        <v>15680</v>
      </c>
      <c r="F4">
        <f>E4*D4</f>
        <v>31360</v>
      </c>
      <c r="G4">
        <v>8</v>
      </c>
      <c r="H4">
        <f>E4/G4</f>
        <v>1960</v>
      </c>
      <c r="I4">
        <v>2800</v>
      </c>
      <c r="L4">
        <v>2</v>
      </c>
      <c r="M4">
        <v>1</v>
      </c>
      <c r="N4">
        <f>M4+L4</f>
        <v>3</v>
      </c>
    </row>
    <row r="5">
      <c r="A5">
        <v>3</v>
      </c>
      <c r="B5">
        <v>3</v>
      </c>
      <c r="C5" t="str">
        <v>체리마루 컵</v>
      </c>
      <c r="H5" t="e">
        <f>E5/G5</f>
        <v>#DIV/0!</v>
      </c>
      <c r="M5">
        <v>1</v>
      </c>
      <c r="N5">
        <f>M5+L5</f>
        <v>1</v>
      </c>
    </row>
    <row r="6">
      <c r="A6">
        <v>4</v>
      </c>
      <c r="B6">
        <v>4</v>
      </c>
      <c r="C6" t="str">
        <v>초코빵빠레</v>
      </c>
      <c r="E6">
        <v>14700</v>
      </c>
      <c r="F6">
        <f>E6*D6</f>
        <v>0</v>
      </c>
      <c r="G6">
        <v>15</v>
      </c>
      <c r="H6">
        <f>E6/G6</f>
        <v>980</v>
      </c>
      <c r="M6">
        <v>1</v>
      </c>
      <c r="N6">
        <f>M6+L6</f>
        <v>1</v>
      </c>
    </row>
    <row r="7">
      <c r="A7">
        <v>5</v>
      </c>
      <c r="B7">
        <v>4</v>
      </c>
      <c r="C7" t="str">
        <v>바닐라빵빠레</v>
      </c>
      <c r="E7">
        <v>14700</v>
      </c>
      <c r="F7">
        <f>E7*D7</f>
        <v>0</v>
      </c>
      <c r="G7">
        <v>15</v>
      </c>
      <c r="H7">
        <f>E7/G7</f>
        <v>980</v>
      </c>
      <c r="N7">
        <f>M7+L7</f>
        <v>0</v>
      </c>
    </row>
    <row r="8">
      <c r="A8">
        <v>6</v>
      </c>
      <c r="B8">
        <v>5</v>
      </c>
      <c r="C8" t="str">
        <v>더블비얀코</v>
      </c>
      <c r="E8">
        <v>14700</v>
      </c>
      <c r="F8">
        <f>E8*D8</f>
        <v>0</v>
      </c>
      <c r="G8">
        <v>15</v>
      </c>
      <c r="H8">
        <f>E8/G8</f>
        <v>980</v>
      </c>
      <c r="M8">
        <v>1</v>
      </c>
      <c r="N8">
        <f>M8+L8</f>
        <v>1</v>
      </c>
    </row>
    <row r="9">
      <c r="A9">
        <v>7</v>
      </c>
      <c r="B9">
        <v>3</v>
      </c>
      <c r="C9" t="str">
        <v>와</v>
      </c>
      <c r="D9">
        <v>1</v>
      </c>
      <c r="E9">
        <v>13440</v>
      </c>
      <c r="F9">
        <f>E9*D9</f>
        <v>13440</v>
      </c>
      <c r="G9">
        <v>16</v>
      </c>
      <c r="H9">
        <f>E9/G9</f>
        <v>840</v>
      </c>
      <c r="L9">
        <v>2</v>
      </c>
      <c r="M9">
        <v>1</v>
      </c>
      <c r="N9">
        <f>M9+L9</f>
        <v>3</v>
      </c>
    </row>
    <row r="10">
      <c r="A10">
        <v>8</v>
      </c>
      <c r="B10">
        <v>7</v>
      </c>
      <c r="C10" t="str">
        <v>월드콘</v>
      </c>
      <c r="E10">
        <v>23520</v>
      </c>
      <c r="F10">
        <f>E10*D10</f>
        <v>0</v>
      </c>
      <c r="G10">
        <v>24</v>
      </c>
      <c r="H10">
        <f>E10/G10</f>
        <v>980</v>
      </c>
      <c r="M10">
        <v>1</v>
      </c>
      <c r="N10">
        <f>M10+L10</f>
        <v>1</v>
      </c>
    </row>
    <row r="11">
      <c r="A11">
        <v>9</v>
      </c>
      <c r="B11">
        <v>8</v>
      </c>
      <c r="C11" t="str">
        <v>부라보콘바닐라</v>
      </c>
      <c r="F11">
        <f>E11*D11</f>
        <v>0</v>
      </c>
      <c r="H11" t="e">
        <f>E11/G11</f>
        <v>#DIV/0!</v>
      </c>
      <c r="M11">
        <v>1</v>
      </c>
      <c r="N11">
        <f>M11+L11</f>
        <v>1</v>
      </c>
    </row>
    <row r="12">
      <c r="A12">
        <v>10</v>
      </c>
      <c r="B12">
        <v>9</v>
      </c>
      <c r="C12" t="str">
        <v>슈퍼콘초코</v>
      </c>
      <c r="E12">
        <v>14700</v>
      </c>
      <c r="F12">
        <f>E12*D12</f>
        <v>0</v>
      </c>
      <c r="G12">
        <v>24</v>
      </c>
      <c r="H12">
        <f>E12/G12</f>
        <v>612.5</v>
      </c>
      <c r="L12">
        <v>1</v>
      </c>
      <c r="M12">
        <v>1</v>
      </c>
      <c r="N12">
        <f>M12+L12</f>
        <v>2</v>
      </c>
    </row>
    <row r="13">
      <c r="A13">
        <v>11</v>
      </c>
      <c r="B13">
        <v>9</v>
      </c>
      <c r="C13" t="str">
        <v>요맘때슈팅콘</v>
      </c>
      <c r="E13">
        <v>23520</v>
      </c>
      <c r="F13">
        <f>E13*D13</f>
        <v>0</v>
      </c>
      <c r="G13">
        <v>24</v>
      </c>
      <c r="H13">
        <f>E13/G13</f>
        <v>980</v>
      </c>
      <c r="I13">
        <v>1400</v>
      </c>
      <c r="N13">
        <f>M13+L13</f>
        <v>0</v>
      </c>
    </row>
    <row r="14">
      <c r="A14">
        <v>12</v>
      </c>
      <c r="B14">
        <v>4</v>
      </c>
      <c r="C14" t="str">
        <v>돼지바</v>
      </c>
      <c r="D14">
        <v>1</v>
      </c>
      <c r="F14">
        <f>E14*D14</f>
        <v>0</v>
      </c>
      <c r="H14" t="e">
        <f>E14/G14</f>
        <v>#DIV/0!</v>
      </c>
      <c r="N14">
        <f>M14+L14</f>
        <v>0</v>
      </c>
    </row>
    <row r="15">
      <c r="A15">
        <v>13</v>
      </c>
      <c r="B15">
        <v>10</v>
      </c>
      <c r="C15" t="str">
        <v>메로나</v>
      </c>
      <c r="F15">
        <f>E15*D15</f>
        <v>0</v>
      </c>
      <c r="H15" t="e">
        <f>E15/G15</f>
        <v>#DIV/0!</v>
      </c>
      <c r="M15">
        <v>1</v>
      </c>
      <c r="N15">
        <f>M15+L15</f>
        <v>1</v>
      </c>
    </row>
    <row r="16">
      <c r="A16">
        <v>14</v>
      </c>
      <c r="B16">
        <v>11</v>
      </c>
      <c r="C16" t="str">
        <v>스크류바</v>
      </c>
      <c r="E16">
        <v>16800</v>
      </c>
      <c r="F16">
        <f>E16*D16</f>
        <v>0</v>
      </c>
      <c r="G16">
        <v>40</v>
      </c>
      <c r="H16">
        <f>E16/G16</f>
        <v>420</v>
      </c>
      <c r="M16">
        <v>1</v>
      </c>
      <c r="N16">
        <f>M16+L16</f>
        <v>1</v>
      </c>
    </row>
    <row r="17">
      <c r="A17">
        <v>15</v>
      </c>
      <c r="B17">
        <v>11</v>
      </c>
      <c r="C17" t="str">
        <v>옥동자</v>
      </c>
      <c r="E17">
        <v>16800</v>
      </c>
      <c r="F17">
        <f>E17*D17</f>
        <v>0</v>
      </c>
      <c r="G17">
        <v>40</v>
      </c>
      <c r="H17">
        <f>E17/G17</f>
        <v>420</v>
      </c>
      <c r="N17">
        <f>M17+L17</f>
        <v>0</v>
      </c>
    </row>
    <row r="18">
      <c r="A18">
        <v>16</v>
      </c>
      <c r="B18">
        <v>12</v>
      </c>
      <c r="C18" t="str">
        <v>체리마루홈</v>
      </c>
      <c r="F18">
        <f>E18*D18</f>
        <v>0</v>
      </c>
      <c r="H18" t="e">
        <f>E18/G18</f>
        <v>#DIV/0!</v>
      </c>
      <c r="N18">
        <f>M18+L18</f>
        <v>0</v>
      </c>
    </row>
    <row r="19">
      <c r="A19">
        <v>17</v>
      </c>
      <c r="B19">
        <v>5</v>
      </c>
      <c r="C19" t="str">
        <v>떡붕어싸만코</v>
      </c>
      <c r="D19">
        <v>1</v>
      </c>
      <c r="E19">
        <v>29400</v>
      </c>
      <c r="F19">
        <f>E19*D19</f>
        <v>29400</v>
      </c>
      <c r="G19">
        <v>30</v>
      </c>
      <c r="H19">
        <f>E19/G19</f>
        <v>980</v>
      </c>
      <c r="L19">
        <v>1</v>
      </c>
      <c r="M19">
        <v>1</v>
      </c>
      <c r="N19">
        <f>M19+L19</f>
        <v>2</v>
      </c>
    </row>
    <row r="20">
      <c r="A20">
        <v>18</v>
      </c>
      <c r="B20">
        <v>13</v>
      </c>
      <c r="C20" t="str">
        <v>빵또아</v>
      </c>
      <c r="E20">
        <v>23520</v>
      </c>
      <c r="F20">
        <f>E20*D20</f>
        <v>0</v>
      </c>
      <c r="G20">
        <v>24</v>
      </c>
      <c r="H20">
        <f>E20/G20</f>
        <v>980</v>
      </c>
      <c r="M20">
        <v>1</v>
      </c>
      <c r="N20">
        <f>M20+L20</f>
        <v>1</v>
      </c>
    </row>
    <row r="21">
      <c r="A21">
        <v>19</v>
      </c>
      <c r="B21">
        <v>6</v>
      </c>
      <c r="C21" t="str">
        <v>쿠키오</v>
      </c>
      <c r="D21">
        <v>1</v>
      </c>
      <c r="E21">
        <v>20160</v>
      </c>
      <c r="F21">
        <f>E21*D21</f>
        <v>20160</v>
      </c>
      <c r="G21">
        <v>24</v>
      </c>
      <c r="H21">
        <f>E21/G21</f>
        <v>840</v>
      </c>
      <c r="L21">
        <v>1</v>
      </c>
      <c r="N21">
        <f>M21+L21</f>
        <v>1</v>
      </c>
    </row>
    <row r="22">
      <c r="A22">
        <v>20</v>
      </c>
      <c r="C22" t="str">
        <v>탱크보이</v>
      </c>
      <c r="E22">
        <v>19600</v>
      </c>
      <c r="F22">
        <f>E22*D22</f>
        <v>0</v>
      </c>
      <c r="G22">
        <v>35</v>
      </c>
      <c r="H22">
        <f>E22/G22</f>
        <v>560</v>
      </c>
      <c r="L22">
        <v>1</v>
      </c>
      <c r="N22">
        <f>M22+L22</f>
        <v>1</v>
      </c>
    </row>
    <row r="23">
      <c r="A23">
        <v>21</v>
      </c>
      <c r="B23">
        <v>14</v>
      </c>
      <c r="C23" t="str">
        <v>주물럭콜라</v>
      </c>
      <c r="F23">
        <f>E23*D23</f>
        <v>0</v>
      </c>
      <c r="H23" t="e">
        <f>E23/G23</f>
        <v>#DIV/0!</v>
      </c>
      <c r="N23">
        <f>M23+L23</f>
        <v>0</v>
      </c>
    </row>
    <row r="24">
      <c r="A24">
        <v>22</v>
      </c>
      <c r="B24">
        <v>14</v>
      </c>
      <c r="C24" t="str">
        <v>빠삐코 초코</v>
      </c>
      <c r="E24">
        <v>19600</v>
      </c>
      <c r="F24">
        <f>E24*D24</f>
        <v>0</v>
      </c>
      <c r="G24">
        <v>35</v>
      </c>
      <c r="H24">
        <f>E24/G24</f>
        <v>560</v>
      </c>
      <c r="M24">
        <v>1</v>
      </c>
      <c r="N24">
        <f>M24+L24</f>
        <v>1</v>
      </c>
    </row>
    <row r="25">
      <c r="A25">
        <v>23</v>
      </c>
      <c r="B25">
        <v>15</v>
      </c>
      <c r="C25" t="str">
        <v>엑설런트</v>
      </c>
      <c r="E25">
        <v>39200</v>
      </c>
      <c r="F25">
        <f>E25*D25</f>
        <v>0</v>
      </c>
      <c r="G25">
        <v>8</v>
      </c>
      <c r="H25">
        <f>E25/G25</f>
        <v>4900</v>
      </c>
      <c r="L25">
        <v>1</v>
      </c>
      <c r="N25">
        <f>M25+L25</f>
        <v>1</v>
      </c>
    </row>
    <row r="26">
      <c r="A26">
        <v>24</v>
      </c>
      <c r="C26" t="str">
        <v>누가바</v>
      </c>
      <c r="F26">
        <f>E26*D26</f>
        <v>0</v>
      </c>
      <c r="H26" t="e">
        <f>E26/G26</f>
        <v>#DIV/0!</v>
      </c>
      <c r="N26">
        <f>M26+L26</f>
        <v>0</v>
      </c>
    </row>
    <row r="27">
      <c r="A27">
        <v>25</v>
      </c>
      <c r="B27">
        <v>7</v>
      </c>
      <c r="C27" t="str">
        <v>구구크러스터</v>
      </c>
      <c r="D27">
        <v>1</v>
      </c>
      <c r="F27">
        <f>E27*D27</f>
        <v>0</v>
      </c>
      <c r="H27" t="e">
        <f>E27/G27</f>
        <v>#DIV/0!</v>
      </c>
      <c r="N27">
        <f>M27+L27</f>
        <v>0</v>
      </c>
    </row>
    <row r="28">
      <c r="A28">
        <v>26</v>
      </c>
      <c r="C28" t="str">
        <v>쌍쌍바</v>
      </c>
      <c r="F28">
        <f>E28*D28</f>
        <v>0</v>
      </c>
      <c r="H28" t="e">
        <f>E28/G28</f>
        <v>#DIV/0!</v>
      </c>
      <c r="N28">
        <f>M28+L28</f>
        <v>0</v>
      </c>
    </row>
    <row r="29">
      <c r="A29">
        <v>27</v>
      </c>
      <c r="C29" t="str">
        <v>아맛나</v>
      </c>
      <c r="F29">
        <f>E29*D29</f>
        <v>0</v>
      </c>
      <c r="H29" t="e">
        <f>E29/G29</f>
        <v>#DIV/0!</v>
      </c>
      <c r="N29">
        <f>M29+L29</f>
        <v>0</v>
      </c>
    </row>
    <row r="30">
      <c r="A30">
        <v>28</v>
      </c>
      <c r="B30">
        <v>17</v>
      </c>
      <c r="C30" t="str">
        <v>요맘때바</v>
      </c>
      <c r="E30">
        <v>17280</v>
      </c>
      <c r="F30">
        <f>E30*D30</f>
        <v>0</v>
      </c>
      <c r="G30">
        <v>40</v>
      </c>
      <c r="H30">
        <f>E30/G30</f>
        <v>432</v>
      </c>
      <c r="I30">
        <v>1200</v>
      </c>
      <c r="N30">
        <f>M30+L30</f>
        <v>0</v>
      </c>
    </row>
    <row r="31">
      <c r="A31">
        <v>29</v>
      </c>
      <c r="C31" t="str">
        <v>죠스바</v>
      </c>
      <c r="E31">
        <v>16800</v>
      </c>
      <c r="F31">
        <f>E31*D31</f>
        <v>0</v>
      </c>
      <c r="G31">
        <v>40</v>
      </c>
      <c r="H31">
        <f>E31/G31</f>
        <v>420</v>
      </c>
      <c r="L31">
        <v>1</v>
      </c>
      <c r="N31">
        <f>M31+L31</f>
        <v>1</v>
      </c>
    </row>
    <row r="32">
      <c r="A32">
        <v>30</v>
      </c>
      <c r="B32">
        <v>18</v>
      </c>
      <c r="C32" t="str">
        <v>와일드바디</v>
      </c>
      <c r="E32">
        <v>16800</v>
      </c>
      <c r="F32">
        <f>E32*D32</f>
        <v>0</v>
      </c>
      <c r="G32">
        <v>40</v>
      </c>
      <c r="H32">
        <f>E32/G32</f>
        <v>420</v>
      </c>
      <c r="N32">
        <f>M32+L32</f>
        <v>0</v>
      </c>
    </row>
    <row r="33">
      <c r="A33">
        <v>31</v>
      </c>
      <c r="B33">
        <v>19</v>
      </c>
      <c r="C33" t="str">
        <v>수박바</v>
      </c>
      <c r="F33">
        <f>E33*D33</f>
        <v>0</v>
      </c>
      <c r="H33" t="e">
        <f>E33/G33</f>
        <v>#DIV/0!</v>
      </c>
      <c r="N33">
        <f>M33+L33</f>
        <v>0</v>
      </c>
    </row>
    <row r="34">
      <c r="A34">
        <v>32</v>
      </c>
      <c r="B34">
        <v>15</v>
      </c>
      <c r="C34" t="str">
        <v>비비빅</v>
      </c>
      <c r="F34">
        <f>E34*D34</f>
        <v>0</v>
      </c>
      <c r="H34" t="e">
        <f>E34/G34</f>
        <v>#DIV/0!</v>
      </c>
      <c r="M34">
        <v>1</v>
      </c>
      <c r="N34">
        <f>M34+L34</f>
        <v>1</v>
      </c>
    </row>
    <row r="35">
      <c r="A35">
        <v>33</v>
      </c>
      <c r="C35" t="str">
        <v>초코퍼지</v>
      </c>
      <c r="F35">
        <f>E35*D35</f>
        <v>0</v>
      </c>
      <c r="H35" t="e">
        <f>E35/G35</f>
        <v>#DIV/0!</v>
      </c>
      <c r="N35">
        <f>M35+L35</f>
        <v>0</v>
      </c>
    </row>
    <row r="36">
      <c r="A36">
        <v>34</v>
      </c>
      <c r="C36" t="str">
        <v>부라보피스타치오</v>
      </c>
      <c r="E36">
        <v>23520</v>
      </c>
      <c r="F36">
        <f>E36*D36</f>
        <v>0</v>
      </c>
      <c r="G36">
        <v>24</v>
      </c>
      <c r="H36">
        <f>E36/G36</f>
        <v>980</v>
      </c>
      <c r="N36">
        <f>M36+L36</f>
        <v>0</v>
      </c>
    </row>
    <row r="37">
      <c r="A37">
        <v>35</v>
      </c>
      <c r="C37" t="str">
        <v>더위사냥</v>
      </c>
      <c r="E37">
        <v>21000</v>
      </c>
      <c r="F37">
        <f>E37*D37</f>
        <v>0</v>
      </c>
      <c r="G37">
        <v>30</v>
      </c>
      <c r="H37">
        <f>E37/G37</f>
        <v>700</v>
      </c>
      <c r="N37">
        <f>M37+L37</f>
        <v>0</v>
      </c>
    </row>
    <row r="38">
      <c r="A38">
        <v>36</v>
      </c>
      <c r="B38">
        <v>8</v>
      </c>
      <c r="C38" t="str">
        <v>거북이바</v>
      </c>
      <c r="D38">
        <v>1</v>
      </c>
      <c r="E38">
        <v>28000</v>
      </c>
      <c r="F38">
        <f>E38*D38</f>
        <v>28000</v>
      </c>
      <c r="G38">
        <v>40</v>
      </c>
      <c r="H38">
        <f>E38/G38</f>
        <v>700</v>
      </c>
      <c r="N38">
        <f>M38+L38</f>
        <v>0</v>
      </c>
    </row>
    <row r="39">
      <c r="A39">
        <v>37</v>
      </c>
      <c r="C39" t="str">
        <v>구구바</v>
      </c>
      <c r="E39">
        <v>28000</v>
      </c>
      <c r="F39">
        <f>E39*D39</f>
        <v>0</v>
      </c>
      <c r="G39">
        <v>40</v>
      </c>
      <c r="H39">
        <f>E39/G39</f>
        <v>700</v>
      </c>
      <c r="N39">
        <f>M39+L39</f>
        <v>0</v>
      </c>
    </row>
    <row r="40">
      <c r="A40">
        <v>38</v>
      </c>
      <c r="C40" t="str">
        <v>시모나녹차</v>
      </c>
      <c r="F40">
        <f>E40*D40</f>
        <v>0</v>
      </c>
      <c r="H40" t="e">
        <f>E40/G40</f>
        <v>#DIV/0!</v>
      </c>
      <c r="N40">
        <f>M40+L40</f>
        <v>0</v>
      </c>
    </row>
    <row r="41">
      <c r="A41">
        <v>39</v>
      </c>
      <c r="C41" t="str">
        <v>설레임밀크</v>
      </c>
      <c r="E41">
        <v>23520</v>
      </c>
      <c r="F41">
        <f>E41*D41</f>
        <v>0</v>
      </c>
      <c r="G41">
        <v>24</v>
      </c>
      <c r="H41">
        <f>E41/G41</f>
        <v>980</v>
      </c>
      <c r="L41">
        <v>1</v>
      </c>
      <c r="N41">
        <f>M41+L41</f>
        <v>1</v>
      </c>
    </row>
    <row r="42">
      <c r="A42">
        <v>40</v>
      </c>
      <c r="C42" t="str">
        <v>설레임커피</v>
      </c>
      <c r="E42">
        <v>23520</v>
      </c>
      <c r="F42">
        <f>E42*D42</f>
        <v>0</v>
      </c>
      <c r="G42">
        <v>24</v>
      </c>
      <c r="H42">
        <f>E42/G42</f>
        <v>980</v>
      </c>
      <c r="L42">
        <v>1</v>
      </c>
      <c r="N42">
        <f>M42+L42</f>
        <v>1</v>
      </c>
    </row>
    <row r="43">
      <c r="A43">
        <v>41</v>
      </c>
      <c r="C43" t="str">
        <v>설레임쿠앤크</v>
      </c>
      <c r="F43">
        <f>E43*D43</f>
        <v>0</v>
      </c>
      <c r="N43">
        <f>M43+L43</f>
        <v>0</v>
      </c>
    </row>
    <row r="44">
      <c r="A44">
        <v>42</v>
      </c>
      <c r="C44" t="str">
        <v>슈퍼콘민트</v>
      </c>
      <c r="F44">
        <f>E44*D44</f>
        <v>0</v>
      </c>
      <c r="N44">
        <f>M44+L44</f>
        <v>0</v>
      </c>
    </row>
    <row r="45">
      <c r="A45">
        <v>43</v>
      </c>
      <c r="C45" t="str">
        <v>요맘때딸기콘</v>
      </c>
      <c r="F45">
        <f>E45*D45</f>
        <v>0</v>
      </c>
      <c r="N45">
        <f>M45+L45</f>
        <v>0</v>
      </c>
    </row>
    <row r="46">
      <c r="A46">
        <v>44</v>
      </c>
      <c r="C46" t="str">
        <v>요맘때플레인콘</v>
      </c>
      <c r="F46">
        <f>E46*D46</f>
        <v>0</v>
      </c>
      <c r="N46">
        <f>M46+L46</f>
        <v>0</v>
      </c>
    </row>
    <row r="47">
      <c r="A47">
        <v>45</v>
      </c>
      <c r="C47" t="str">
        <v>빵또아쿠앤크</v>
      </c>
      <c r="F47">
        <f>E47*D47</f>
        <v>0</v>
      </c>
      <c r="N47">
        <f>M47+L47</f>
        <v>0</v>
      </c>
    </row>
    <row r="48">
      <c r="A48">
        <v>46</v>
      </c>
      <c r="B48">
        <v>9</v>
      </c>
      <c r="C48" t="str">
        <v>구구콘</v>
      </c>
      <c r="D48">
        <v>1</v>
      </c>
      <c r="F48">
        <f>E48*D48</f>
        <v>0</v>
      </c>
      <c r="M48">
        <v>1</v>
      </c>
      <c r="N48">
        <f>M48+L48</f>
        <v>1</v>
      </c>
    </row>
    <row r="49">
      <c r="A49">
        <v>47</v>
      </c>
      <c r="B49">
        <v>10</v>
      </c>
      <c r="C49" t="str">
        <v>티코</v>
      </c>
      <c r="D49">
        <v>1</v>
      </c>
      <c r="F49">
        <f>E49*D49</f>
        <v>0</v>
      </c>
      <c r="M49">
        <v>1</v>
      </c>
      <c r="N49">
        <f>M49+L49</f>
        <v>1</v>
      </c>
    </row>
    <row r="50">
      <c r="A50">
        <v>48</v>
      </c>
      <c r="B50">
        <v>11</v>
      </c>
      <c r="C50" t="str">
        <v>해태] 찐 팥빙수</v>
      </c>
      <c r="D50">
        <v>1</v>
      </c>
    </row>
    <row r="51">
      <c r="A51">
        <v>49</v>
      </c>
      <c r="B51">
        <v>12</v>
      </c>
      <c r="C51" t="str">
        <v>팝콘 붕어 사만코</v>
      </c>
      <c r="D51">
        <v>1</v>
      </c>
    </row>
    <row r="52">
      <c r="A52">
        <v>50</v>
      </c>
      <c r="B52">
        <v>13</v>
      </c>
      <c r="C52" t="str">
        <v>호두마루 바</v>
      </c>
      <c r="D52">
        <v>1</v>
      </c>
    </row>
    <row r="53">
      <c r="A53">
        <v>51</v>
      </c>
      <c r="B53">
        <v>14</v>
      </c>
      <c r="C53" t="str">
        <v>호두마루 컵</v>
      </c>
      <c r="D53">
        <v>1</v>
      </c>
    </row>
  </sheetData>
  <autoFilter ref="A2:J53"/>
  <pageMargins left="0.7" right="0.7" top="0.75" bottom="0.75" header="0" footer="0"/>
  <ignoredErrors>
    <ignoredError numberStoredAsText="1" sqref="A1:N5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80"/>
  <sheetViews>
    <sheetView workbookViewId="0"/>
  </sheetViews>
  <sheetData>
    <row r="1">
      <c r="C1" t="str">
        <v>총</v>
      </c>
      <c r="D1">
        <f>SUBTOTAL(9,D3:D42)</f>
        <v>14</v>
      </c>
      <c r="F1">
        <f>SUBTOTAL(9,F3:F42)</f>
        <v>276500</v>
      </c>
    </row>
    <row r="2">
      <c r="A2" t="str">
        <v>순번</v>
      </c>
      <c r="C2" t="str">
        <v>품명</v>
      </c>
      <c r="D2" t="str">
        <v>박스수량</v>
      </c>
      <c r="E2" t="str">
        <v>박스원가</v>
      </c>
      <c r="F2" t="str">
        <v>주문액</v>
      </c>
      <c r="G2" t="str">
        <v>박스입수</v>
      </c>
      <c r="H2" t="str">
        <v>개당원가</v>
      </c>
      <c r="I2" t="str">
        <v>판매가</v>
      </c>
      <c r="J2" t="str">
        <v>마진율</v>
      </c>
      <c r="L2">
        <v>251028</v>
      </c>
    </row>
    <row r="3">
      <c r="A3">
        <v>1</v>
      </c>
      <c r="B3">
        <v>1</v>
      </c>
      <c r="C3" t="str">
        <v>투게더 미니</v>
      </c>
      <c r="D3">
        <v>2</v>
      </c>
      <c r="E3">
        <v>15680</v>
      </c>
      <c r="F3">
        <f>E3*D3</f>
        <v>31360</v>
      </c>
      <c r="G3">
        <v>8</v>
      </c>
      <c r="H3">
        <f>E3/G3</f>
        <v>1960</v>
      </c>
      <c r="I3">
        <v>2800</v>
      </c>
      <c r="J3">
        <f>H3/I3</f>
        <v>0.7</v>
      </c>
      <c r="L3">
        <v>1</v>
      </c>
      <c r="M3">
        <f>L3+D3</f>
        <v>3</v>
      </c>
    </row>
    <row r="4">
      <c r="A4">
        <v>2</v>
      </c>
      <c r="B4">
        <v>2</v>
      </c>
      <c r="C4" t="str">
        <v>투게더그라시아 미니(쿠앤크)</v>
      </c>
      <c r="D4">
        <v>2</v>
      </c>
      <c r="E4">
        <v>15680</v>
      </c>
      <c r="F4">
        <f>E4*D4</f>
        <v>31360</v>
      </c>
      <c r="G4">
        <v>8</v>
      </c>
      <c r="H4">
        <f>E4/G4</f>
        <v>1960</v>
      </c>
      <c r="I4">
        <v>2800</v>
      </c>
      <c r="L4">
        <v>1</v>
      </c>
      <c r="M4">
        <f>L4+D4</f>
        <v>3</v>
      </c>
    </row>
    <row r="5">
      <c r="A5">
        <v>3</v>
      </c>
      <c r="B5">
        <v>3</v>
      </c>
      <c r="C5" t="str">
        <v>체리마루 컵</v>
      </c>
      <c r="H5" t="e">
        <f>E5/G5</f>
        <v>#DIV/0!</v>
      </c>
      <c r="L5">
        <v>1</v>
      </c>
      <c r="M5">
        <f>L5+D5</f>
        <v>1</v>
      </c>
    </row>
    <row r="6">
      <c r="A6">
        <v>4</v>
      </c>
      <c r="B6">
        <v>4</v>
      </c>
      <c r="C6" t="str">
        <v>초코빵빠레</v>
      </c>
      <c r="E6">
        <v>14700</v>
      </c>
      <c r="F6">
        <f>E6*D6</f>
        <v>0</v>
      </c>
      <c r="G6">
        <v>15</v>
      </c>
      <c r="H6">
        <f>E6/G6</f>
        <v>980</v>
      </c>
      <c r="L6">
        <v>1</v>
      </c>
      <c r="M6">
        <f>L6+D6</f>
        <v>1</v>
      </c>
    </row>
    <row r="7">
      <c r="A7">
        <v>5</v>
      </c>
      <c r="B7">
        <v>4</v>
      </c>
      <c r="C7" t="str">
        <v>바닐라빵빠레</v>
      </c>
      <c r="E7">
        <v>14700</v>
      </c>
      <c r="F7">
        <f>E7*D7</f>
        <v>0</v>
      </c>
      <c r="G7">
        <v>15</v>
      </c>
      <c r="H7">
        <f>E7/G7</f>
        <v>980</v>
      </c>
      <c r="M7">
        <f>L7+D7</f>
        <v>0</v>
      </c>
    </row>
    <row r="8">
      <c r="A8">
        <v>6</v>
      </c>
      <c r="B8">
        <v>5</v>
      </c>
      <c r="C8" t="str">
        <v>더블비얀코</v>
      </c>
      <c r="E8">
        <v>14700</v>
      </c>
      <c r="F8">
        <f>E8*D8</f>
        <v>0</v>
      </c>
      <c r="G8">
        <v>15</v>
      </c>
      <c r="H8">
        <f>E8/G8</f>
        <v>980</v>
      </c>
      <c r="L8">
        <v>1</v>
      </c>
      <c r="M8">
        <f>L8+D8</f>
        <v>1</v>
      </c>
    </row>
    <row r="9">
      <c r="A9">
        <v>7</v>
      </c>
      <c r="B9">
        <v>6</v>
      </c>
      <c r="C9" t="str">
        <v>와</v>
      </c>
      <c r="D9">
        <v>2</v>
      </c>
      <c r="E9">
        <v>13440</v>
      </c>
      <c r="F9">
        <f>E9*D9</f>
        <v>26880</v>
      </c>
      <c r="G9">
        <v>16</v>
      </c>
      <c r="H9">
        <f>E9/G9</f>
        <v>840</v>
      </c>
      <c r="L9">
        <v>1</v>
      </c>
      <c r="M9">
        <f>L9+D9</f>
        <v>3</v>
      </c>
    </row>
    <row r="10">
      <c r="A10">
        <v>8</v>
      </c>
      <c r="B10">
        <v>7</v>
      </c>
      <c r="C10" t="str">
        <v>월드콘</v>
      </c>
      <c r="E10">
        <v>23520</v>
      </c>
      <c r="F10">
        <f>E10*D10</f>
        <v>0</v>
      </c>
      <c r="G10">
        <v>24</v>
      </c>
      <c r="H10">
        <f>E10/G10</f>
        <v>980</v>
      </c>
      <c r="L10">
        <v>1</v>
      </c>
      <c r="M10">
        <f>L10+D10</f>
        <v>1</v>
      </c>
    </row>
    <row r="11">
      <c r="A11">
        <v>9</v>
      </c>
      <c r="B11">
        <v>8</v>
      </c>
      <c r="C11" t="str">
        <v>부라보콘바닐라</v>
      </c>
      <c r="F11">
        <f>E11*D11</f>
        <v>0</v>
      </c>
      <c r="H11" t="e">
        <f>E11/G11</f>
        <v>#DIV/0!</v>
      </c>
      <c r="L11">
        <v>1</v>
      </c>
      <c r="M11">
        <f>L11+D11</f>
        <v>1</v>
      </c>
    </row>
    <row r="12">
      <c r="A12">
        <v>10</v>
      </c>
      <c r="B12">
        <v>9</v>
      </c>
      <c r="C12" t="str">
        <v>슈퍼콘초코</v>
      </c>
      <c r="D12">
        <v>1</v>
      </c>
      <c r="E12">
        <v>14700</v>
      </c>
      <c r="F12">
        <f>E12*D12</f>
        <v>14700</v>
      </c>
      <c r="G12">
        <v>24</v>
      </c>
      <c r="H12">
        <f>E12/G12</f>
        <v>612.5</v>
      </c>
      <c r="L12">
        <v>1</v>
      </c>
      <c r="M12">
        <f>L12+D12</f>
        <v>2</v>
      </c>
    </row>
    <row r="13">
      <c r="A13">
        <v>11</v>
      </c>
      <c r="B13">
        <v>9</v>
      </c>
      <c r="C13" t="str">
        <v>요맘때슈팅콘</v>
      </c>
      <c r="E13">
        <v>23520</v>
      </c>
      <c r="F13">
        <f>E13*D13</f>
        <v>0</v>
      </c>
      <c r="G13">
        <v>24</v>
      </c>
      <c r="H13">
        <f>E13/G13</f>
        <v>980</v>
      </c>
      <c r="I13">
        <v>1400</v>
      </c>
      <c r="M13">
        <f>L13+D13</f>
        <v>0</v>
      </c>
    </row>
    <row r="14">
      <c r="A14">
        <v>12</v>
      </c>
      <c r="C14" t="str">
        <v>돼지바</v>
      </c>
      <c r="F14">
        <f>E14*D14</f>
        <v>0</v>
      </c>
      <c r="H14" t="e">
        <f>E14/G14</f>
        <v>#DIV/0!</v>
      </c>
      <c r="M14">
        <f>L14+D14</f>
        <v>0</v>
      </c>
    </row>
    <row r="15">
      <c r="A15">
        <v>13</v>
      </c>
      <c r="B15">
        <v>10</v>
      </c>
      <c r="C15" t="str">
        <v>메로나</v>
      </c>
      <c r="F15">
        <f>E15*D15</f>
        <v>0</v>
      </c>
      <c r="H15" t="e">
        <f>E15/G15</f>
        <v>#DIV/0!</v>
      </c>
      <c r="L15">
        <v>1</v>
      </c>
      <c r="M15">
        <f>L15+D15</f>
        <v>1</v>
      </c>
    </row>
    <row r="16">
      <c r="A16">
        <v>14</v>
      </c>
      <c r="B16">
        <v>11</v>
      </c>
      <c r="C16" t="str">
        <v>스크류바</v>
      </c>
      <c r="E16">
        <v>16800</v>
      </c>
      <c r="F16">
        <f>E16*D16</f>
        <v>0</v>
      </c>
      <c r="G16">
        <v>40</v>
      </c>
      <c r="H16">
        <f>E16/G16</f>
        <v>420</v>
      </c>
      <c r="L16">
        <v>1</v>
      </c>
      <c r="M16">
        <f>L16+D16</f>
        <v>1</v>
      </c>
    </row>
    <row r="17">
      <c r="A17">
        <v>15</v>
      </c>
      <c r="B17">
        <v>11</v>
      </c>
      <c r="C17" t="str">
        <v>옥동자</v>
      </c>
      <c r="E17">
        <v>16800</v>
      </c>
      <c r="F17">
        <f>E17*D17</f>
        <v>0</v>
      </c>
      <c r="G17">
        <v>40</v>
      </c>
      <c r="H17">
        <f>E17/G17</f>
        <v>420</v>
      </c>
      <c r="M17">
        <f>L17+D17</f>
        <v>0</v>
      </c>
    </row>
    <row r="18">
      <c r="A18">
        <v>16</v>
      </c>
      <c r="B18">
        <v>12</v>
      </c>
      <c r="C18" t="str">
        <v>체리마루홈</v>
      </c>
      <c r="F18">
        <f>E18*D18</f>
        <v>0</v>
      </c>
      <c r="H18" t="e">
        <f>E18/G18</f>
        <v>#DIV/0!</v>
      </c>
      <c r="M18">
        <f>L18+D18</f>
        <v>0</v>
      </c>
    </row>
    <row r="19">
      <c r="A19">
        <v>17</v>
      </c>
      <c r="B19">
        <v>12</v>
      </c>
      <c r="C19" t="str">
        <v>떡붕어싸만코</v>
      </c>
      <c r="D19">
        <v>1</v>
      </c>
      <c r="E19">
        <v>29400</v>
      </c>
      <c r="F19">
        <f>E19*D19</f>
        <v>29400</v>
      </c>
      <c r="G19">
        <v>30</v>
      </c>
      <c r="H19">
        <f>E19/G19</f>
        <v>980</v>
      </c>
      <c r="L19">
        <v>1</v>
      </c>
      <c r="M19">
        <f>L19+D19</f>
        <v>2</v>
      </c>
    </row>
    <row r="20">
      <c r="A20">
        <v>18</v>
      </c>
      <c r="B20">
        <v>13</v>
      </c>
      <c r="C20" t="str">
        <v>빵또아</v>
      </c>
      <c r="E20">
        <v>23520</v>
      </c>
      <c r="F20">
        <f>E20*D20</f>
        <v>0</v>
      </c>
      <c r="G20">
        <v>24</v>
      </c>
      <c r="H20">
        <f>E20/G20</f>
        <v>980</v>
      </c>
      <c r="L20">
        <v>1</v>
      </c>
      <c r="M20">
        <f>L20+D20</f>
        <v>1</v>
      </c>
    </row>
    <row r="21">
      <c r="A21">
        <v>19</v>
      </c>
      <c r="B21">
        <v>14</v>
      </c>
      <c r="C21" t="str">
        <v>쿠키오</v>
      </c>
      <c r="D21">
        <v>1</v>
      </c>
      <c r="E21">
        <v>20160</v>
      </c>
      <c r="F21">
        <f>E21*D21</f>
        <v>20160</v>
      </c>
      <c r="G21">
        <v>24</v>
      </c>
      <c r="H21">
        <f>E21/G21</f>
        <v>840</v>
      </c>
      <c r="M21">
        <f>L21+D21</f>
        <v>1</v>
      </c>
    </row>
    <row r="22">
      <c r="A22">
        <v>20</v>
      </c>
      <c r="C22" t="str">
        <v>탱크보이</v>
      </c>
      <c r="D22">
        <v>1</v>
      </c>
      <c r="E22">
        <v>19600</v>
      </c>
      <c r="F22">
        <f>E22*D22</f>
        <v>19600</v>
      </c>
      <c r="G22">
        <v>35</v>
      </c>
      <c r="H22">
        <f>E22/G22</f>
        <v>560</v>
      </c>
      <c r="M22">
        <f>L22+D22</f>
        <v>1</v>
      </c>
    </row>
    <row r="23">
      <c r="A23">
        <v>21</v>
      </c>
      <c r="B23">
        <v>14</v>
      </c>
      <c r="C23" t="str">
        <v>주물럭콜라</v>
      </c>
      <c r="F23">
        <f>E23*D23</f>
        <v>0</v>
      </c>
      <c r="H23" t="e">
        <f>E23/G23</f>
        <v>#DIV/0!</v>
      </c>
      <c r="M23">
        <f>L23+D23</f>
        <v>0</v>
      </c>
    </row>
    <row r="24">
      <c r="A24">
        <v>22</v>
      </c>
      <c r="B24">
        <v>14</v>
      </c>
      <c r="C24" t="str">
        <v>빠삐코 초코</v>
      </c>
      <c r="E24">
        <v>19600</v>
      </c>
      <c r="F24">
        <f>E24*D24</f>
        <v>0</v>
      </c>
      <c r="G24">
        <v>35</v>
      </c>
      <c r="H24">
        <f>E24/G24</f>
        <v>560</v>
      </c>
      <c r="L24">
        <v>1</v>
      </c>
      <c r="M24">
        <f>L24+D24</f>
        <v>1</v>
      </c>
    </row>
    <row r="25">
      <c r="A25">
        <v>23</v>
      </c>
      <c r="B25">
        <v>15</v>
      </c>
      <c r="C25" t="str">
        <v>엑설런트</v>
      </c>
      <c r="D25">
        <v>1</v>
      </c>
      <c r="E25">
        <v>39200</v>
      </c>
      <c r="F25">
        <f>E25*D25</f>
        <v>39200</v>
      </c>
      <c r="G25">
        <v>8</v>
      </c>
      <c r="H25">
        <f>E25/G25</f>
        <v>4900</v>
      </c>
      <c r="M25">
        <f>L25+D25</f>
        <v>1</v>
      </c>
    </row>
    <row r="26">
      <c r="A26">
        <v>24</v>
      </c>
      <c r="C26" t="str">
        <v>누가바</v>
      </c>
      <c r="F26">
        <f>E26*D26</f>
        <v>0</v>
      </c>
      <c r="H26" t="e">
        <f>E26/G26</f>
        <v>#DIV/0!</v>
      </c>
      <c r="M26">
        <f>L26+D26</f>
        <v>0</v>
      </c>
    </row>
    <row r="27">
      <c r="A27">
        <v>25</v>
      </c>
      <c r="B27">
        <v>16</v>
      </c>
      <c r="C27" t="str">
        <v>구구크러스터</v>
      </c>
      <c r="F27">
        <f>E27*D27</f>
        <v>0</v>
      </c>
      <c r="H27" t="e">
        <f>E27/G27</f>
        <v>#DIV/0!</v>
      </c>
      <c r="M27">
        <f>L27+D27</f>
        <v>0</v>
      </c>
    </row>
    <row r="28">
      <c r="A28">
        <v>26</v>
      </c>
      <c r="C28" t="str">
        <v>쌍쌍바</v>
      </c>
      <c r="F28">
        <f>E28*D28</f>
        <v>0</v>
      </c>
      <c r="H28" t="e">
        <f>E28/G28</f>
        <v>#DIV/0!</v>
      </c>
      <c r="M28">
        <f>L28+D28</f>
        <v>0</v>
      </c>
    </row>
    <row r="29">
      <c r="A29">
        <v>27</v>
      </c>
      <c r="C29" t="str">
        <v>아맛나</v>
      </c>
      <c r="F29">
        <f>E29*D29</f>
        <v>0</v>
      </c>
      <c r="H29" t="e">
        <f>E29/G29</f>
        <v>#DIV/0!</v>
      </c>
      <c r="M29">
        <f>L29+D29</f>
        <v>0</v>
      </c>
    </row>
    <row r="30">
      <c r="A30">
        <v>28</v>
      </c>
      <c r="B30">
        <v>17</v>
      </c>
      <c r="C30" t="str">
        <v>요맘때바</v>
      </c>
      <c r="E30">
        <v>17280</v>
      </c>
      <c r="F30">
        <f>E30*D30</f>
        <v>0</v>
      </c>
      <c r="G30">
        <v>40</v>
      </c>
      <c r="H30">
        <f>E30/G30</f>
        <v>432</v>
      </c>
      <c r="I30">
        <v>1200</v>
      </c>
      <c r="M30">
        <f>L30+D30</f>
        <v>0</v>
      </c>
    </row>
    <row r="31">
      <c r="A31">
        <v>29</v>
      </c>
      <c r="C31" t="str">
        <v>죠스바</v>
      </c>
      <c r="D31">
        <v>1</v>
      </c>
      <c r="E31">
        <v>16800</v>
      </c>
      <c r="F31">
        <f>E31*D31</f>
        <v>16800</v>
      </c>
      <c r="G31">
        <v>40</v>
      </c>
      <c r="H31">
        <f>E31/G31</f>
        <v>420</v>
      </c>
      <c r="M31">
        <f>L31+D31</f>
        <v>1</v>
      </c>
    </row>
    <row r="32">
      <c r="A32">
        <v>30</v>
      </c>
      <c r="B32">
        <v>18</v>
      </c>
      <c r="C32" t="str">
        <v>와일드바디</v>
      </c>
      <c r="E32">
        <v>16800</v>
      </c>
      <c r="F32">
        <f>E32*D32</f>
        <v>0</v>
      </c>
      <c r="G32">
        <v>40</v>
      </c>
      <c r="H32">
        <f>E32/G32</f>
        <v>420</v>
      </c>
      <c r="M32">
        <f>L32+D32</f>
        <v>0</v>
      </c>
    </row>
    <row r="33">
      <c r="A33">
        <v>31</v>
      </c>
      <c r="B33">
        <v>19</v>
      </c>
      <c r="C33" t="str">
        <v>수박바</v>
      </c>
      <c r="F33">
        <f>E33*D33</f>
        <v>0</v>
      </c>
      <c r="H33" t="e">
        <f>E33/G33</f>
        <v>#DIV/0!</v>
      </c>
      <c r="M33">
        <f>L33+D33</f>
        <v>0</v>
      </c>
    </row>
    <row r="34">
      <c r="A34">
        <v>32</v>
      </c>
      <c r="B34">
        <v>15</v>
      </c>
      <c r="C34" t="str">
        <v>비비빅</v>
      </c>
      <c r="F34">
        <f>E34*D34</f>
        <v>0</v>
      </c>
      <c r="H34" t="e">
        <f>E34/G34</f>
        <v>#DIV/0!</v>
      </c>
      <c r="L34">
        <v>1</v>
      </c>
      <c r="M34">
        <f>L34+D34</f>
        <v>1</v>
      </c>
    </row>
    <row r="35">
      <c r="A35">
        <v>33</v>
      </c>
      <c r="C35" t="str">
        <v>초코퍼지</v>
      </c>
      <c r="F35">
        <f>E35*D35</f>
        <v>0</v>
      </c>
      <c r="H35" t="e">
        <f>E35/G35</f>
        <v>#DIV/0!</v>
      </c>
      <c r="M35">
        <f>L35+D35</f>
        <v>0</v>
      </c>
    </row>
    <row r="36">
      <c r="A36">
        <v>34</v>
      </c>
      <c r="C36" t="str">
        <v>부라보피스타치오</v>
      </c>
      <c r="E36">
        <v>23520</v>
      </c>
      <c r="F36">
        <f>E36*D36</f>
        <v>0</v>
      </c>
      <c r="G36">
        <v>24</v>
      </c>
      <c r="H36">
        <f>E36/G36</f>
        <v>980</v>
      </c>
      <c r="M36">
        <f>L36+D36</f>
        <v>0</v>
      </c>
    </row>
    <row r="37">
      <c r="A37">
        <v>35</v>
      </c>
      <c r="C37" t="str">
        <v>더위사냥</v>
      </c>
      <c r="E37">
        <v>21000</v>
      </c>
      <c r="F37">
        <f>E37*D37</f>
        <v>0</v>
      </c>
      <c r="G37">
        <v>30</v>
      </c>
      <c r="H37">
        <f>E37/G37</f>
        <v>700</v>
      </c>
      <c r="M37">
        <f>L37+D37</f>
        <v>0</v>
      </c>
    </row>
    <row r="38">
      <c r="A38">
        <v>36</v>
      </c>
      <c r="C38" t="str">
        <v>거북이바</v>
      </c>
      <c r="E38">
        <v>28000</v>
      </c>
      <c r="F38">
        <f>E38*D38</f>
        <v>0</v>
      </c>
      <c r="G38">
        <v>40</v>
      </c>
      <c r="H38">
        <f>E38/G38</f>
        <v>700</v>
      </c>
      <c r="M38">
        <f>L38+D38</f>
        <v>0</v>
      </c>
    </row>
    <row r="39">
      <c r="A39">
        <v>37</v>
      </c>
      <c r="C39" t="str">
        <v>구구바</v>
      </c>
      <c r="E39">
        <v>28000</v>
      </c>
      <c r="F39">
        <f>E39*D39</f>
        <v>0</v>
      </c>
      <c r="G39">
        <v>40</v>
      </c>
      <c r="H39">
        <f>E39/G39</f>
        <v>700</v>
      </c>
      <c r="M39">
        <f>L39+D39</f>
        <v>0</v>
      </c>
    </row>
    <row r="40">
      <c r="A40">
        <v>38</v>
      </c>
      <c r="C40" t="str">
        <v>시모나녹차</v>
      </c>
      <c r="F40">
        <f>E40*D40</f>
        <v>0</v>
      </c>
      <c r="H40" t="e">
        <f>E40/G40</f>
        <v>#DIV/0!</v>
      </c>
      <c r="M40">
        <f>L40+D40</f>
        <v>0</v>
      </c>
    </row>
    <row r="41">
      <c r="A41">
        <v>39</v>
      </c>
      <c r="C41" t="str">
        <v>설레임밀크</v>
      </c>
      <c r="D41">
        <v>1</v>
      </c>
      <c r="E41">
        <v>23520</v>
      </c>
      <c r="F41">
        <f>E41*D41</f>
        <v>23520</v>
      </c>
      <c r="G41">
        <v>24</v>
      </c>
      <c r="H41">
        <f>E41/G41</f>
        <v>980</v>
      </c>
      <c r="M41">
        <f>L41+D41</f>
        <v>1</v>
      </c>
    </row>
    <row r="42">
      <c r="A42">
        <v>40</v>
      </c>
      <c r="C42" t="str">
        <v>설레임커피</v>
      </c>
      <c r="D42">
        <v>1</v>
      </c>
      <c r="E42">
        <v>23520</v>
      </c>
      <c r="F42">
        <f>E42*D42</f>
        <v>23520</v>
      </c>
      <c r="G42">
        <v>24</v>
      </c>
      <c r="H42">
        <f>E42/G42</f>
        <v>980</v>
      </c>
      <c r="M42">
        <f>L42+D42</f>
        <v>1</v>
      </c>
    </row>
    <row r="43">
      <c r="A43">
        <v>41</v>
      </c>
      <c r="C43" t="str">
        <v>설레임쿠앤크</v>
      </c>
      <c r="F43">
        <f>E43*D43</f>
        <v>0</v>
      </c>
      <c r="M43">
        <f>L43+D43</f>
        <v>0</v>
      </c>
    </row>
    <row r="44">
      <c r="A44">
        <v>42</v>
      </c>
      <c r="C44" t="str">
        <v>슈퍼콘민트</v>
      </c>
      <c r="F44">
        <f>E44*D44</f>
        <v>0</v>
      </c>
      <c r="M44">
        <f>L44+D44</f>
        <v>0</v>
      </c>
    </row>
    <row r="45">
      <c r="A45">
        <v>43</v>
      </c>
      <c r="C45" t="str">
        <v>요맘때딸기콘</v>
      </c>
      <c r="F45">
        <f>E45*D45</f>
        <v>0</v>
      </c>
      <c r="M45">
        <f>L45+D45</f>
        <v>0</v>
      </c>
    </row>
    <row r="46">
      <c r="A46">
        <v>44</v>
      </c>
      <c r="C46" t="str">
        <v>요맘때플레인콘</v>
      </c>
      <c r="F46">
        <f>E46*D46</f>
        <v>0</v>
      </c>
      <c r="M46">
        <f>L46+D46</f>
        <v>0</v>
      </c>
    </row>
    <row r="47">
      <c r="A47">
        <v>45</v>
      </c>
      <c r="C47" t="str">
        <v>빵또아쿠앤크</v>
      </c>
      <c r="F47">
        <f>E47*D47</f>
        <v>0</v>
      </c>
      <c r="M47">
        <f>L47+D47</f>
        <v>0</v>
      </c>
    </row>
    <row r="48">
      <c r="B48">
        <v>16</v>
      </c>
      <c r="C48" t="str">
        <v>구구콘</v>
      </c>
      <c r="F48">
        <f>E48*D48</f>
        <v>0</v>
      </c>
      <c r="L48">
        <v>1</v>
      </c>
      <c r="M48">
        <f>L48+D48</f>
        <v>1</v>
      </c>
    </row>
    <row r="49">
      <c r="B49">
        <v>17</v>
      </c>
      <c r="C49" t="str">
        <v>티코</v>
      </c>
      <c r="F49">
        <f>E49*D49</f>
        <v>0</v>
      </c>
      <c r="L49">
        <v>1</v>
      </c>
      <c r="M49">
        <f>L49+D49</f>
        <v>1</v>
      </c>
    </row>
    <row r="51">
      <c r="C51" t="str">
        <v>거북이바 2</v>
      </c>
    </row>
    <row r="52">
      <c r="C52" t="str">
        <v>투게더미니 1</v>
      </c>
    </row>
    <row r="53">
      <c r="C53" t="str">
        <v>투게더미니그릿아 1</v>
      </c>
    </row>
    <row r="54">
      <c r="C54" t="str">
        <v>구구크러스터(떠먹는) 1</v>
      </c>
    </row>
    <row r="55">
      <c r="C55" t="str">
        <v>탱크보이 1</v>
      </c>
    </row>
    <row r="56">
      <c r="C56" t="str">
        <v>빵빠레(쵸) 1</v>
      </c>
    </row>
    <row r="57">
      <c r="C57" t="str">
        <v>빵빠레(바) 1</v>
      </c>
    </row>
    <row r="58">
      <c r="C58" t="str">
        <v>더블비안코 1</v>
      </c>
    </row>
    <row r="59">
      <c r="C59" t="str">
        <v>스크류바 1</v>
      </c>
    </row>
    <row r="60">
      <c r="C60" t="str">
        <v>셀레임(밀크) 1</v>
      </c>
    </row>
    <row r="61">
      <c r="C61" t="str">
        <v>메로나 1</v>
      </c>
    </row>
    <row r="62">
      <c r="C62" t="str">
        <v>돼지블랙 1</v>
      </c>
    </row>
    <row r="63">
      <c r="C63" t="str">
        <v>퍼먹는 팥빙수 1</v>
      </c>
    </row>
    <row r="67">
      <c r="C67" t="str">
        <v>이름</v>
      </c>
      <c r="E67" t="str">
        <v>수량</v>
      </c>
    </row>
    <row r="68">
      <c r="C68" t="str">
        <v>거북이바</v>
      </c>
    </row>
    <row r="69">
      <c r="C69" t="str">
        <v>투게더 미니</v>
      </c>
    </row>
    <row r="70">
      <c r="C70" t="str">
        <v>투게더 미니 그릿아</v>
      </c>
    </row>
    <row r="71">
      <c r="C71" t="str">
        <v>쿠쿠그러스터 (떠먹는)</v>
      </c>
    </row>
    <row r="72">
      <c r="C72" t="str">
        <v>탱크보이</v>
      </c>
    </row>
    <row r="73">
      <c r="C73" t="str">
        <v>빵빠레 (쵸)</v>
      </c>
    </row>
    <row r="74">
      <c r="C74" t="str">
        <v>빵빠레 (바)</v>
      </c>
    </row>
    <row r="75">
      <c r="C75" t="str">
        <v>더블비안코</v>
      </c>
    </row>
    <row r="76">
      <c r="C76" t="str">
        <v>스크류바</v>
      </c>
    </row>
    <row r="77">
      <c r="C77" t="str">
        <v>설레임(밀크)</v>
      </c>
    </row>
    <row r="78">
      <c r="C78" t="str">
        <v>돼지바 블랙</v>
      </c>
    </row>
    <row r="79">
      <c r="C79" t="str">
        <v>메로나</v>
      </c>
    </row>
    <row r="80">
      <c r="C80" t="str">
        <v>퍼먹는 팥빙수</v>
      </c>
    </row>
  </sheetData>
  <autoFilter ref="A2:J49"/>
  <pageMargins left="0.7" right="0.7" top="0.75" bottom="0.75" header="0" footer="0"/>
  <ignoredErrors>
    <ignoredError numberStoredAsText="1" sqref="A1:M8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80"/>
  <sheetViews>
    <sheetView workbookViewId="0"/>
  </sheetViews>
  <sheetData>
    <row r="1">
      <c r="C1" t="str">
        <v>총</v>
      </c>
      <c r="D1">
        <f>SUBTOTAL(9,D3:D42)</f>
        <v>15</v>
      </c>
      <c r="F1">
        <f>SUBTOTAL(9,F3:F42)</f>
        <v>144200</v>
      </c>
    </row>
    <row r="2">
      <c r="A2" t="str">
        <v>순번</v>
      </c>
      <c r="C2" t="str">
        <v>품명</v>
      </c>
      <c r="D2" t="str">
        <v>박스수량</v>
      </c>
      <c r="E2" t="str">
        <v>박스원가</v>
      </c>
      <c r="F2" t="str">
        <v>주문액</v>
      </c>
      <c r="G2" t="str">
        <v>박스입수</v>
      </c>
      <c r="H2" t="str">
        <v>개당원가</v>
      </c>
      <c r="I2" t="str">
        <v>판매가</v>
      </c>
      <c r="J2" t="str">
        <v>마진율</v>
      </c>
    </row>
    <row r="3">
      <c r="A3">
        <v>1</v>
      </c>
      <c r="B3">
        <v>1</v>
      </c>
      <c r="C3" t="str">
        <v>투게더 미니</v>
      </c>
      <c r="D3">
        <v>1</v>
      </c>
      <c r="E3">
        <v>15680</v>
      </c>
      <c r="F3">
        <f>E3*D3</f>
        <v>15680</v>
      </c>
      <c r="G3">
        <v>8</v>
      </c>
      <c r="H3">
        <f>E3/G3</f>
        <v>1960</v>
      </c>
      <c r="I3">
        <v>2800</v>
      </c>
      <c r="J3">
        <f>H3/I3</f>
        <v>0.7</v>
      </c>
    </row>
    <row r="4">
      <c r="A4">
        <v>2</v>
      </c>
      <c r="B4">
        <v>2</v>
      </c>
      <c r="C4" t="str">
        <v>투게더그라시아 미니(쿠앤크)</v>
      </c>
      <c r="D4">
        <v>1</v>
      </c>
      <c r="E4">
        <v>15680</v>
      </c>
      <c r="F4">
        <f>E4*D4</f>
        <v>15680</v>
      </c>
      <c r="G4">
        <v>8</v>
      </c>
      <c r="H4">
        <f>E4/G4</f>
        <v>1960</v>
      </c>
      <c r="I4">
        <v>2800</v>
      </c>
    </row>
    <row r="5">
      <c r="A5">
        <v>3</v>
      </c>
      <c r="B5">
        <v>3</v>
      </c>
      <c r="C5" t="str">
        <v>체리마루 컵</v>
      </c>
      <c r="D5">
        <v>1</v>
      </c>
      <c r="H5" t="e">
        <f>E5/G5</f>
        <v>#DIV/0!</v>
      </c>
    </row>
    <row r="6">
      <c r="A6">
        <v>4</v>
      </c>
      <c r="B6">
        <v>4</v>
      </c>
      <c r="C6" t="str">
        <v>초코빵빠레</v>
      </c>
      <c r="D6">
        <v>1</v>
      </c>
      <c r="E6">
        <v>14700</v>
      </c>
      <c r="F6">
        <f>E6*D6</f>
        <v>14700</v>
      </c>
      <c r="G6">
        <v>15</v>
      </c>
      <c r="H6">
        <f>E6/G6</f>
        <v>980</v>
      </c>
    </row>
    <row r="7">
      <c r="A7">
        <v>5</v>
      </c>
      <c r="B7">
        <v>4</v>
      </c>
      <c r="C7" t="str">
        <v>바닐라빵빠레</v>
      </c>
      <c r="E7">
        <v>14700</v>
      </c>
      <c r="F7">
        <f>E7*D7</f>
        <v>0</v>
      </c>
      <c r="G7">
        <v>15</v>
      </c>
      <c r="H7">
        <f>E7/G7</f>
        <v>980</v>
      </c>
    </row>
    <row r="8">
      <c r="A8">
        <v>6</v>
      </c>
      <c r="B8">
        <v>5</v>
      </c>
      <c r="C8" t="str">
        <v>더블비얀코</v>
      </c>
      <c r="D8">
        <v>1</v>
      </c>
      <c r="E8">
        <v>14700</v>
      </c>
      <c r="F8">
        <f>E8*D8</f>
        <v>14700</v>
      </c>
      <c r="G8">
        <v>15</v>
      </c>
      <c r="H8">
        <f>E8/G8</f>
        <v>980</v>
      </c>
    </row>
    <row r="9">
      <c r="A9">
        <v>7</v>
      </c>
      <c r="B9">
        <v>6</v>
      </c>
      <c r="C9" t="str">
        <v>와</v>
      </c>
      <c r="D9">
        <v>1</v>
      </c>
      <c r="H9" t="e">
        <f>E9/G9</f>
        <v>#DIV/0!</v>
      </c>
    </row>
    <row r="10">
      <c r="A10">
        <v>8</v>
      </c>
      <c r="B10">
        <v>7</v>
      </c>
      <c r="C10" t="str">
        <v>월드콘</v>
      </c>
      <c r="D10">
        <v>1</v>
      </c>
      <c r="E10">
        <v>23520</v>
      </c>
      <c r="F10">
        <f>E10*D10</f>
        <v>23520</v>
      </c>
      <c r="G10">
        <v>24</v>
      </c>
      <c r="H10">
        <f>E10/G10</f>
        <v>980</v>
      </c>
    </row>
    <row r="11">
      <c r="A11">
        <v>9</v>
      </c>
      <c r="B11">
        <v>8</v>
      </c>
      <c r="C11" t="str">
        <v>부라보콘바닐라</v>
      </c>
      <c r="D11">
        <v>1</v>
      </c>
      <c r="H11" t="e">
        <f>E11/G11</f>
        <v>#DIV/0!</v>
      </c>
    </row>
    <row r="12">
      <c r="A12">
        <v>10</v>
      </c>
      <c r="B12">
        <v>9</v>
      </c>
      <c r="C12" t="str">
        <v>슈퍼콘</v>
      </c>
      <c r="D12">
        <v>1</v>
      </c>
      <c r="H12" t="e">
        <f>E12/G12</f>
        <v>#DIV/0!</v>
      </c>
    </row>
    <row r="13">
      <c r="A13">
        <v>11</v>
      </c>
      <c r="B13">
        <v>9</v>
      </c>
      <c r="C13" t="str">
        <v>요맘때슈팅콘</v>
      </c>
      <c r="E13">
        <v>23520</v>
      </c>
      <c r="F13">
        <f>E13*D13</f>
        <v>0</v>
      </c>
      <c r="G13">
        <v>24</v>
      </c>
      <c r="H13">
        <f>E13/G13</f>
        <v>980</v>
      </c>
      <c r="I13">
        <v>1400</v>
      </c>
    </row>
    <row r="14">
      <c r="A14">
        <v>12</v>
      </c>
      <c r="C14" t="str">
        <v>돼지바</v>
      </c>
      <c r="H14" t="e">
        <f>E14/G14</f>
        <v>#DIV/0!</v>
      </c>
    </row>
    <row r="15">
      <c r="A15">
        <v>13</v>
      </c>
      <c r="B15">
        <v>10</v>
      </c>
      <c r="C15" t="str">
        <v>메로나</v>
      </c>
      <c r="D15">
        <v>1</v>
      </c>
      <c r="H15" t="e">
        <f>E15/G15</f>
        <v>#DIV/0!</v>
      </c>
    </row>
    <row r="16">
      <c r="A16">
        <v>14</v>
      </c>
      <c r="B16">
        <v>11</v>
      </c>
      <c r="C16" t="str">
        <v>스크류바</v>
      </c>
      <c r="D16">
        <v>1</v>
      </c>
      <c r="E16">
        <v>16800</v>
      </c>
      <c r="F16">
        <f>E16*D16</f>
        <v>16800</v>
      </c>
      <c r="G16">
        <v>40</v>
      </c>
      <c r="H16">
        <f>E16/G16</f>
        <v>420</v>
      </c>
    </row>
    <row r="17">
      <c r="A17">
        <v>15</v>
      </c>
      <c r="B17">
        <v>11</v>
      </c>
      <c r="C17" t="str">
        <v>옥동자</v>
      </c>
      <c r="E17">
        <v>16800</v>
      </c>
      <c r="F17">
        <f>E17*D17</f>
        <v>0</v>
      </c>
      <c r="G17">
        <v>40</v>
      </c>
      <c r="H17">
        <f>E17/G17</f>
        <v>420</v>
      </c>
    </row>
    <row r="18">
      <c r="A18">
        <v>16</v>
      </c>
      <c r="B18">
        <v>12</v>
      </c>
      <c r="C18" t="str">
        <v>체리마루홈</v>
      </c>
      <c r="H18" t="e">
        <f>E18/G18</f>
        <v>#DIV/0!</v>
      </c>
    </row>
    <row r="19">
      <c r="A19">
        <v>17</v>
      </c>
      <c r="B19">
        <v>12</v>
      </c>
      <c r="C19" t="str">
        <v>참붕어싸만코</v>
      </c>
      <c r="D19">
        <v>1</v>
      </c>
      <c r="H19" t="e">
        <f>E19/G19</f>
        <v>#DIV/0!</v>
      </c>
    </row>
    <row r="20">
      <c r="A20">
        <v>18</v>
      </c>
      <c r="B20">
        <v>13</v>
      </c>
      <c r="C20" t="str">
        <v>빵또아</v>
      </c>
      <c r="D20">
        <v>1</v>
      </c>
      <c r="E20">
        <v>23520</v>
      </c>
      <c r="F20">
        <f>E20*D20</f>
        <v>23520</v>
      </c>
      <c r="G20">
        <v>24</v>
      </c>
      <c r="H20">
        <f>E20/G20</f>
        <v>980</v>
      </c>
    </row>
    <row r="21">
      <c r="A21">
        <v>19</v>
      </c>
      <c r="B21">
        <v>14</v>
      </c>
      <c r="C21" t="str">
        <v>쿠키오</v>
      </c>
      <c r="E21">
        <v>20160</v>
      </c>
      <c r="F21">
        <f>E21*D21</f>
        <v>0</v>
      </c>
      <c r="G21">
        <v>24</v>
      </c>
      <c r="H21">
        <f>E21/G21</f>
        <v>840</v>
      </c>
    </row>
    <row r="22">
      <c r="A22">
        <v>20</v>
      </c>
      <c r="C22" t="str">
        <v>탱크보이</v>
      </c>
      <c r="H22" t="e">
        <f>E22/G22</f>
        <v>#DIV/0!</v>
      </c>
    </row>
    <row r="23">
      <c r="A23">
        <v>21</v>
      </c>
      <c r="B23">
        <v>14</v>
      </c>
      <c r="C23" t="str">
        <v>주물럭콜라</v>
      </c>
      <c r="H23" t="e">
        <f>E23/G23</f>
        <v>#DIV/0!</v>
      </c>
    </row>
    <row r="24">
      <c r="A24">
        <v>22</v>
      </c>
      <c r="B24">
        <v>14</v>
      </c>
      <c r="C24" t="str">
        <v>빠삐코 초코</v>
      </c>
      <c r="D24">
        <v>1</v>
      </c>
      <c r="E24">
        <v>19600</v>
      </c>
      <c r="F24">
        <f>E24*D24</f>
        <v>19600</v>
      </c>
      <c r="G24">
        <v>35</v>
      </c>
      <c r="H24">
        <f>E24/G24</f>
        <v>560</v>
      </c>
    </row>
    <row r="25">
      <c r="A25">
        <v>23</v>
      </c>
      <c r="B25">
        <v>15</v>
      </c>
      <c r="C25" t="str">
        <v>엑설런트</v>
      </c>
      <c r="H25" t="e">
        <f>E25/G25</f>
        <v>#DIV/0!</v>
      </c>
    </row>
    <row r="26">
      <c r="A26">
        <v>24</v>
      </c>
      <c r="C26" t="str">
        <v>누가바</v>
      </c>
      <c r="H26" t="e">
        <f>E26/G26</f>
        <v>#DIV/0!</v>
      </c>
    </row>
    <row r="27">
      <c r="A27">
        <v>25</v>
      </c>
      <c r="B27">
        <v>16</v>
      </c>
      <c r="C27" t="str">
        <v>구구크러스터</v>
      </c>
      <c r="H27" t="e">
        <f>E27/G27</f>
        <v>#DIV/0!</v>
      </c>
    </row>
    <row r="28">
      <c r="A28">
        <v>26</v>
      </c>
      <c r="C28" t="str">
        <v>쌍쌍바</v>
      </c>
      <c r="H28" t="e">
        <f>E28/G28</f>
        <v>#DIV/0!</v>
      </c>
    </row>
    <row r="29">
      <c r="A29">
        <v>27</v>
      </c>
      <c r="C29" t="str">
        <v>아맛나</v>
      </c>
      <c r="H29" t="e">
        <f>E29/G29</f>
        <v>#DIV/0!</v>
      </c>
    </row>
    <row r="30">
      <c r="A30">
        <v>28</v>
      </c>
      <c r="B30">
        <v>17</v>
      </c>
      <c r="C30" t="str">
        <v>요맘때바</v>
      </c>
      <c r="E30">
        <v>17280</v>
      </c>
      <c r="F30">
        <f>E30*D30</f>
        <v>0</v>
      </c>
      <c r="G30">
        <v>40</v>
      </c>
      <c r="H30">
        <f>E30/G30</f>
        <v>432</v>
      </c>
      <c r="I30">
        <v>1200</v>
      </c>
    </row>
    <row r="31">
      <c r="A31">
        <v>29</v>
      </c>
      <c r="C31" t="str">
        <v>죠스바</v>
      </c>
      <c r="H31" t="e">
        <f>E31/G31</f>
        <v>#DIV/0!</v>
      </c>
    </row>
    <row r="32">
      <c r="A32">
        <v>30</v>
      </c>
      <c r="B32">
        <v>18</v>
      </c>
      <c r="C32" t="str">
        <v>와일드바디</v>
      </c>
      <c r="E32">
        <v>16800</v>
      </c>
      <c r="F32">
        <f>E32*D32</f>
        <v>0</v>
      </c>
      <c r="G32">
        <v>40</v>
      </c>
      <c r="H32">
        <f>E32/G32</f>
        <v>420</v>
      </c>
    </row>
    <row r="33">
      <c r="A33">
        <v>31</v>
      </c>
      <c r="B33">
        <v>19</v>
      </c>
      <c r="C33" t="str">
        <v>수박바</v>
      </c>
      <c r="H33" t="e">
        <f>E33/G33</f>
        <v>#DIV/0!</v>
      </c>
    </row>
    <row r="34">
      <c r="A34">
        <v>32</v>
      </c>
      <c r="B34">
        <v>15</v>
      </c>
      <c r="C34" t="str">
        <v>비비빅</v>
      </c>
      <c r="D34">
        <v>1</v>
      </c>
      <c r="H34" t="e">
        <f>E34/G34</f>
        <v>#DIV/0!</v>
      </c>
    </row>
    <row r="35">
      <c r="A35">
        <v>33</v>
      </c>
      <c r="C35" t="str">
        <v>초코퍼지</v>
      </c>
      <c r="H35" t="e">
        <f>E35/G35</f>
        <v>#DIV/0!</v>
      </c>
    </row>
    <row r="36">
      <c r="A36">
        <v>34</v>
      </c>
      <c r="C36" t="str">
        <v>부라보피스타치오</v>
      </c>
      <c r="E36">
        <v>23520</v>
      </c>
      <c r="F36">
        <f>E36*D36</f>
        <v>0</v>
      </c>
      <c r="G36">
        <v>24</v>
      </c>
      <c r="H36">
        <f>E36/G36</f>
        <v>980</v>
      </c>
    </row>
    <row r="37">
      <c r="A37">
        <v>35</v>
      </c>
      <c r="C37" t="str">
        <v>더위사냥</v>
      </c>
      <c r="E37">
        <v>21000</v>
      </c>
      <c r="F37">
        <f>E37*D37</f>
        <v>0</v>
      </c>
      <c r="G37">
        <v>30</v>
      </c>
      <c r="H37">
        <f>E37/G37</f>
        <v>700</v>
      </c>
    </row>
    <row r="38">
      <c r="A38">
        <v>36</v>
      </c>
      <c r="C38" t="str">
        <v>거북이바</v>
      </c>
      <c r="E38">
        <v>28000</v>
      </c>
      <c r="F38">
        <f>E38*D38</f>
        <v>0</v>
      </c>
      <c r="G38">
        <v>40</v>
      </c>
      <c r="H38">
        <f>E38/G38</f>
        <v>700</v>
      </c>
    </row>
    <row r="39">
      <c r="A39">
        <v>37</v>
      </c>
      <c r="C39" t="str">
        <v>구구바</v>
      </c>
      <c r="E39">
        <v>28000</v>
      </c>
      <c r="F39">
        <f>E39*D39</f>
        <v>0</v>
      </c>
      <c r="G39">
        <v>40</v>
      </c>
      <c r="H39">
        <f>E39/G39</f>
        <v>700</v>
      </c>
    </row>
    <row r="40">
      <c r="A40">
        <v>38</v>
      </c>
      <c r="C40" t="str">
        <v>시모나녹차</v>
      </c>
      <c r="H40" t="e">
        <f>E40/G40</f>
        <v>#DIV/0!</v>
      </c>
    </row>
    <row r="41">
      <c r="A41">
        <v>39</v>
      </c>
      <c r="C41" t="str">
        <v>설레임밀크</v>
      </c>
      <c r="E41">
        <v>23520</v>
      </c>
      <c r="F41">
        <f>E41*D41</f>
        <v>0</v>
      </c>
      <c r="G41">
        <v>24</v>
      </c>
      <c r="H41">
        <f>E41/G41</f>
        <v>980</v>
      </c>
    </row>
    <row r="42">
      <c r="A42">
        <v>40</v>
      </c>
      <c r="C42" t="str">
        <v>설레임커피</v>
      </c>
      <c r="E42">
        <v>23520</v>
      </c>
      <c r="F42">
        <f>E42*D42</f>
        <v>0</v>
      </c>
      <c r="G42">
        <v>24</v>
      </c>
      <c r="H42">
        <f>E42/G42</f>
        <v>980</v>
      </c>
    </row>
    <row r="43">
      <c r="A43">
        <v>41</v>
      </c>
      <c r="C43" t="str">
        <v>설레임쿠앤크</v>
      </c>
    </row>
    <row r="44">
      <c r="A44">
        <v>42</v>
      </c>
      <c r="C44" t="str">
        <v>슈퍼콘민트</v>
      </c>
    </row>
    <row r="45">
      <c r="A45">
        <v>43</v>
      </c>
      <c r="C45" t="str">
        <v>요맘때딸기콘</v>
      </c>
    </row>
    <row r="46">
      <c r="A46">
        <v>44</v>
      </c>
      <c r="C46" t="str">
        <v>요맘때플레인콘</v>
      </c>
    </row>
    <row r="47">
      <c r="A47">
        <v>45</v>
      </c>
      <c r="C47" t="str">
        <v>빵또아쿠앤크</v>
      </c>
    </row>
    <row r="48">
      <c r="B48">
        <v>16</v>
      </c>
      <c r="C48" t="str">
        <v>구구콘</v>
      </c>
      <c r="D48">
        <v>1</v>
      </c>
    </row>
    <row r="49">
      <c r="B49">
        <v>17</v>
      </c>
      <c r="C49" t="str">
        <v>티코</v>
      </c>
      <c r="D49">
        <v>1</v>
      </c>
    </row>
    <row r="51">
      <c r="C51" t="str">
        <v>거북이바 2</v>
      </c>
    </row>
    <row r="52">
      <c r="C52" t="str">
        <v>투게더미니 1</v>
      </c>
    </row>
    <row r="53">
      <c r="C53" t="str">
        <v>투게더미니그릿아 1</v>
      </c>
    </row>
    <row r="54">
      <c r="C54" t="str">
        <v>구구크러스터(떠먹는) 1</v>
      </c>
    </row>
    <row r="55">
      <c r="C55" t="str">
        <v>탱크보이 1</v>
      </c>
    </row>
    <row r="56">
      <c r="C56" t="str">
        <v>빵빠레(쵸) 1</v>
      </c>
    </row>
    <row r="57">
      <c r="C57" t="str">
        <v>빵빠레(바) 1</v>
      </c>
    </row>
    <row r="58">
      <c r="C58" t="str">
        <v>더블비안코 1</v>
      </c>
    </row>
    <row r="59">
      <c r="C59" t="str">
        <v>스크류바 1</v>
      </c>
    </row>
    <row r="60">
      <c r="C60" t="str">
        <v>셀레임(밀크) 1</v>
      </c>
    </row>
    <row r="61">
      <c r="C61" t="str">
        <v>메로나 1</v>
      </c>
    </row>
    <row r="62">
      <c r="C62" t="str">
        <v>돼지블랙 1</v>
      </c>
    </row>
    <row r="63">
      <c r="C63" t="str">
        <v>퍼먹는 팥빙수 1</v>
      </c>
    </row>
    <row r="67">
      <c r="C67" t="str">
        <v>이름</v>
      </c>
      <c r="E67" t="str">
        <v>수량</v>
      </c>
    </row>
    <row r="68">
      <c r="C68" t="str">
        <v>거북이바</v>
      </c>
    </row>
    <row r="69">
      <c r="C69" t="str">
        <v>투게더 미니</v>
      </c>
    </row>
    <row r="70">
      <c r="C70" t="str">
        <v>투게더 미니 그릿아</v>
      </c>
    </row>
    <row r="71">
      <c r="C71" t="str">
        <v>쿠쿠그러스터 (떠먹는)</v>
      </c>
    </row>
    <row r="72">
      <c r="C72" t="str">
        <v>탱크보이</v>
      </c>
    </row>
    <row r="73">
      <c r="C73" t="str">
        <v>빵빠레 (쵸)</v>
      </c>
    </row>
    <row r="74">
      <c r="C74" t="str">
        <v>빵빠레 (바)</v>
      </c>
    </row>
    <row r="75">
      <c r="C75" t="str">
        <v>더블비안코</v>
      </c>
    </row>
    <row r="76">
      <c r="C76" t="str">
        <v>스크류바</v>
      </c>
    </row>
    <row r="77">
      <c r="C77" t="str">
        <v>설레임(밀크)</v>
      </c>
    </row>
    <row r="78">
      <c r="C78" t="str">
        <v>돼지바 블랙</v>
      </c>
    </row>
    <row r="79">
      <c r="C79" t="str">
        <v>메로나</v>
      </c>
    </row>
    <row r="80">
      <c r="C80" t="str">
        <v>퍼먹는 팥빙수</v>
      </c>
    </row>
  </sheetData>
  <autoFilter ref="A2:J49"/>
  <pageMargins left="0.7" right="0.7" top="0.75" bottom="0.75" header="0" footer="0"/>
  <ignoredErrors>
    <ignoredError numberStoredAsText="1" sqref="A1:J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260905</vt:lpstr>
      <vt:lpstr>Sheet1</vt:lpstr>
      <vt:lpstr>260715</vt:lpstr>
      <vt:lpstr>260419</vt:lpstr>
      <vt:lpstr>시트1</vt:lpstr>
      <vt:lpstr>260225</vt:lpstr>
      <vt:lpstr>251227</vt:lpstr>
      <vt:lpstr>251028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